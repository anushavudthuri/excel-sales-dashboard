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3BB2848B152C93DB/Desktop/"/>
    </mc:Choice>
  </mc:AlternateContent>
  <xr:revisionPtr revIDLastSave="0" documentId="14_{B9E744ED-9C4F-4868-B666-9676EF8E2D02}" xr6:coauthVersionLast="47" xr6:coauthVersionMax="47" xr10:uidLastSave="{00000000-0000-0000-0000-000000000000}"/>
  <bookViews>
    <workbookView xWindow="-110" yWindow="-110" windowWidth="19420" windowHeight="11500" activeTab="1" xr2:uid="{80B590A0-26F3-4C00-B82F-AB5BC9851E2A}"/>
  </bookViews>
  <sheets>
    <sheet name="salesman" sheetId="10" r:id="rId1"/>
    <sheet name="Aboutt" sheetId="12" r:id="rId2"/>
    <sheet name="products" sheetId="9" r:id="rId3"/>
    <sheet name="maindata" sheetId="1" r:id="rId4"/>
    <sheet name="DashBoard" sheetId="2" r:id="rId5"/>
    <sheet name="Pivot Table" sheetId="3" r:id="rId6"/>
  </sheets>
  <definedNames>
    <definedName name="NativeTimeline_Date1">#N/A</definedName>
    <definedName name="Slicer_Place1">#N/A</definedName>
    <definedName name="Slicer_Products1">#N/A</definedName>
  </definedNames>
  <calcPr calcId="191029"/>
  <pivotCaches>
    <pivotCache cacheId="7"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C62" i="3"/>
  <c r="C58" i="3"/>
</calcChain>
</file>

<file path=xl/sharedStrings.xml><?xml version="1.0" encoding="utf-8"?>
<sst xmlns="http://schemas.openxmlformats.org/spreadsheetml/2006/main" count="909" uniqueCount="42">
  <si>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</si>
  <si>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</si>
  <si>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</si>
  <si>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</si>
  <si>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</si>
  <si>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</si>
  <si>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</si>
  <si>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</si>
  <si>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</si>
  <si>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</si>
  <si>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</si>
  <si>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</si>
  <si>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</si>
  <si>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</si>
  <si>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</si>
  <si>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</si>
  <si>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</si>
  <si>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</si>
  <si>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</si>
  <si>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</si>
  <si>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</si>
  <si>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</si>
  <si>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</si>
  <si>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</si>
  <si>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</si>
  <si>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</si>
  <si>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</si>
  <si>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Jan</t>
  </si>
  <si>
    <t>Feb</t>
  </si>
  <si>
    <t>Sum of Units</t>
  </si>
  <si>
    <t>Sum of Amount</t>
  </si>
  <si>
    <t>Mar</t>
  </si>
  <si>
    <t>Apr</t>
  </si>
  <si>
    <t>May</t>
  </si>
  <si>
    <t>Jun</t>
  </si>
  <si>
    <t>Jul</t>
  </si>
  <si>
    <t>Aug</t>
  </si>
  <si>
    <t>Sep</t>
  </si>
  <si>
    <t>Oct</t>
  </si>
  <si>
    <t>Nov</t>
  </si>
  <si>
    <t>Dec</t>
  </si>
  <si>
    <t>Count of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</si>
</sst>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rgb="FFFF0000"/>
      <name val="Calibri"/>
      <family val="2"/>
      <scheme val="minor"/>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Table!PivotTable13</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Table'!$B$98</c:f>
              <c:strCache>
                <c:ptCount val="1"/>
                <c:pt idx="0">
                  <c:v>Total</c:v>
                </c:pt>
              </c:strCache>
            </c:strRef>
          </c:tx>
          <c:spPr>
            <a:solidFill>
              <a:schemeClr val="accent1"/>
            </a:solidFill>
            <a:ln>
              <a:noFill/>
            </a:ln>
            <a:effectLst/>
          </c:spPr>
          <c:invertIfNegative val="0"/>
          <c:cat>
            <c:strRef>
              <c:f>'Pivot Table'!$A$99:$A$102</c:f>
              <c:strCache>
                <c:ptCount val="3"/>
                <c:pt idx="0">
                  <c:v>Ganesh</c:v>
                </c:pt>
                <c:pt idx="1">
                  <c:v>Gopi</c:v>
                </c:pt>
                <c:pt idx="2">
                  <c:v>Kiran</c:v>
                </c:pt>
              </c:strCache>
            </c:strRef>
          </c:cat>
          <c:val>
            <c:numRef>
              <c:f>'Pivot Table'!$B$99:$B$102</c:f>
              <c:numCache>
                <c:formatCode>General</c:formatCode>
                <c:ptCount val="3"/>
                <c:pt idx="0">
                  <c:v>1687</c:v>
                </c:pt>
                <c:pt idx="1">
                  <c:v>1534</c:v>
                </c:pt>
                <c:pt idx="2">
                  <c:v>1407</c:v>
                </c:pt>
              </c:numCache>
            </c:numRef>
          </c:val>
          <c:extLst>
            <c:ext xmlns:c16="http://schemas.microsoft.com/office/drawing/2014/chart" uri="{C3380CC4-5D6E-409C-BE32-E72D297353CC}">
              <c16:uniqueId val="{00000000-D847-4121-BCF3-5083F22C1020}"/>
            </c:ext>
          </c:extLst>
        </c:ser>
        <c:dLbls>
          <c:showLegendKey val="0"/>
          <c:showVal val="0"/>
          <c:showCatName val="0"/>
          <c:showSerName val="0"/>
          <c:showPercent val="0"/>
          <c:showBubbleSize val="0"/>
        </c:dLbls>
        <c:gapWidth val="219"/>
        <c:overlap val="-27"/>
        <c:axId val="636649615"/>
        <c:axId val="636652975"/>
      </c:barChart>
      <c:catAx>
        <c:axId val="63664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652975"/>
        <c:crosses val="autoZero"/>
        <c:auto val="1"/>
        <c:lblAlgn val="ctr"/>
        <c:lblOffset val="100"/>
        <c:noMultiLvlLbl val="0"/>
      </c:catAx>
      <c:valAx>
        <c:axId val="636652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64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Table!PivotTable14</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Table'!$B$112</c:f>
              <c:strCache>
                <c:ptCount val="1"/>
                <c:pt idx="0">
                  <c:v>Total</c:v>
                </c:pt>
              </c:strCache>
            </c:strRef>
          </c:tx>
          <c:spPr>
            <a:solidFill>
              <a:schemeClr val="accent1"/>
            </a:solidFill>
            <a:ln>
              <a:noFill/>
            </a:ln>
            <a:effectLst/>
          </c:spPr>
          <c:invertIfNegative val="0"/>
          <c:cat>
            <c:strRef>
              <c:f>'Pivot Table'!$A$113:$A$116</c:f>
              <c:strCache>
                <c:ptCount val="3"/>
                <c:pt idx="0">
                  <c:v>Mahesh</c:v>
                </c:pt>
                <c:pt idx="1">
                  <c:v>Prathap</c:v>
                </c:pt>
                <c:pt idx="2">
                  <c:v>Ramesh</c:v>
                </c:pt>
              </c:strCache>
            </c:strRef>
          </c:cat>
          <c:val>
            <c:numRef>
              <c:f>'Pivot Table'!$B$113:$B$116</c:f>
              <c:numCache>
                <c:formatCode>General</c:formatCode>
                <c:ptCount val="3"/>
                <c:pt idx="0">
                  <c:v>810</c:v>
                </c:pt>
                <c:pt idx="1">
                  <c:v>1285</c:v>
                </c:pt>
                <c:pt idx="2">
                  <c:v>947</c:v>
                </c:pt>
              </c:numCache>
            </c:numRef>
          </c:val>
          <c:extLst>
            <c:ext xmlns:c16="http://schemas.microsoft.com/office/drawing/2014/chart" uri="{C3380CC4-5D6E-409C-BE32-E72D297353CC}">
              <c16:uniqueId val="{00000000-CE9B-4F9E-9CB4-179F62BA357F}"/>
            </c:ext>
          </c:extLst>
        </c:ser>
        <c:dLbls>
          <c:showLegendKey val="0"/>
          <c:showVal val="0"/>
          <c:showCatName val="0"/>
          <c:showSerName val="0"/>
          <c:showPercent val="0"/>
          <c:showBubbleSize val="0"/>
        </c:dLbls>
        <c:gapWidth val="219"/>
        <c:overlap val="-27"/>
        <c:axId val="494123711"/>
        <c:axId val="494115071"/>
      </c:barChart>
      <c:catAx>
        <c:axId val="49412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15071"/>
        <c:crosses val="autoZero"/>
        <c:auto val="1"/>
        <c:lblAlgn val="ctr"/>
        <c:lblOffset val="100"/>
        <c:noMultiLvlLbl val="0"/>
      </c:catAx>
      <c:valAx>
        <c:axId val="49411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2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Table!PivotTable15</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Table'!$A$132:$A$138</c:f>
              <c:strCache>
                <c:ptCount val="6"/>
                <c:pt idx="0">
                  <c:v>Mahesh</c:v>
                </c:pt>
                <c:pt idx="1">
                  <c:v>Ramesh</c:v>
                </c:pt>
                <c:pt idx="2">
                  <c:v>Prathap</c:v>
                </c:pt>
                <c:pt idx="3">
                  <c:v>Kiran</c:v>
                </c:pt>
                <c:pt idx="4">
                  <c:v>Gopi</c:v>
                </c:pt>
                <c:pt idx="5">
                  <c:v>Ganesh</c:v>
                </c:pt>
              </c:strCache>
            </c:strRef>
          </c:cat>
          <c:val>
            <c:numRef>
              <c:f>'Pivot Table'!$B$132:$B$138</c:f>
              <c:numCache>
                <c:formatCode>General</c:formatCode>
                <c:ptCount val="6"/>
                <c:pt idx="0">
                  <c:v>810</c:v>
                </c:pt>
                <c:pt idx="1">
                  <c:v>947</c:v>
                </c:pt>
                <c:pt idx="2">
                  <c:v>1285</c:v>
                </c:pt>
                <c:pt idx="3">
                  <c:v>1407</c:v>
                </c:pt>
                <c:pt idx="4">
                  <c:v>1534</c:v>
                </c:pt>
                <c:pt idx="5">
                  <c:v>1687</c:v>
                </c:pt>
              </c:numCache>
            </c:numRef>
          </c:val>
          <c:extLst>
            <c:ext xmlns:c16="http://schemas.microsoft.com/office/drawing/2014/chart" uri="{C3380CC4-5D6E-409C-BE32-E72D297353CC}">
              <c16:uniqueId val="{00000000-0229-4E5D-92C2-B3A7F531C9CC}"/>
            </c:ext>
          </c:extLst>
        </c:ser>
        <c:dLbls>
          <c:dLblPos val="outEnd"/>
          <c:showLegendKey val="0"/>
          <c:showVal val="1"/>
          <c:showCatName val="0"/>
          <c:showSerName val="0"/>
          <c:showPercent val="0"/>
          <c:showBubbleSize val="0"/>
        </c:dLbls>
        <c:gapWidth val="182"/>
        <c:axId val="996192639"/>
        <c:axId val="996194559"/>
      </c:barChart>
      <c:catAx>
        <c:axId val="99619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194559"/>
        <c:crosses val="autoZero"/>
        <c:auto val="1"/>
        <c:lblAlgn val="ctr"/>
        <c:lblOffset val="100"/>
        <c:noMultiLvlLbl val="0"/>
      </c:catAx>
      <c:valAx>
        <c:axId val="996194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19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c:name>
    <c:fmtId val="29"/>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Table'!$A$40:$A$46</c:f>
              <c:strCache>
                <c:ptCount val="6"/>
                <c:pt idx="0">
                  <c:v>LED TV's</c:v>
                </c:pt>
                <c:pt idx="1">
                  <c:v>Speakers</c:v>
                </c:pt>
                <c:pt idx="2">
                  <c:v>Furniture</c:v>
                </c:pt>
                <c:pt idx="3">
                  <c:v>Mobiles</c:v>
                </c:pt>
                <c:pt idx="4">
                  <c:v>4K LED TV's</c:v>
                </c:pt>
                <c:pt idx="5">
                  <c:v>Laptops</c:v>
                </c:pt>
              </c:strCache>
            </c:strRef>
          </c:cat>
          <c:val>
            <c:numRef>
              <c:f>'Pivot Table'!$B$40:$B$46</c:f>
              <c:numCache>
                <c:formatCode>0.00%</c:formatCode>
                <c:ptCount val="6"/>
                <c:pt idx="0">
                  <c:v>2.9676432430838107E-2</c:v>
                </c:pt>
                <c:pt idx="1">
                  <c:v>3.3596339611969298E-2</c:v>
                </c:pt>
                <c:pt idx="2">
                  <c:v>4.4333858974184806E-2</c:v>
                </c:pt>
                <c:pt idx="3">
                  <c:v>8.7710746766245865E-2</c:v>
                </c:pt>
                <c:pt idx="4">
                  <c:v>0.39442202778658636</c:v>
                </c:pt>
                <c:pt idx="5">
                  <c:v>0.41026059443017554</c:v>
                </c:pt>
              </c:numCache>
            </c:numRef>
          </c:val>
          <c:extLst>
            <c:ext xmlns:c16="http://schemas.microsoft.com/office/drawing/2014/chart" uri="{C3380CC4-5D6E-409C-BE32-E72D297353CC}">
              <c16:uniqueId val="{00000000-DC2E-4D19-AA09-823E6F9D0271}"/>
            </c:ext>
          </c:extLst>
        </c:ser>
        <c:dLbls>
          <c:dLblPos val="outEnd"/>
          <c:showLegendKey val="0"/>
          <c:showVal val="1"/>
          <c:showCatName val="0"/>
          <c:showSerName val="0"/>
          <c:showPercent val="0"/>
          <c:showBubbleSize val="0"/>
        </c:dLbls>
        <c:gapWidth val="100"/>
        <c:axId val="423087503"/>
        <c:axId val="423088463"/>
      </c:barChart>
      <c:catAx>
        <c:axId val="42308750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3088463"/>
        <c:crosses val="autoZero"/>
        <c:auto val="1"/>
        <c:lblAlgn val="ctr"/>
        <c:lblOffset val="100"/>
        <c:noMultiLvlLbl val="0"/>
      </c:catAx>
      <c:valAx>
        <c:axId val="423088463"/>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308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Table'!$A$73:$A$76</c:f>
              <c:strCache>
                <c:ptCount val="3"/>
                <c:pt idx="0">
                  <c:v>4K LED TV's</c:v>
                </c:pt>
                <c:pt idx="1">
                  <c:v>Laptops</c:v>
                </c:pt>
                <c:pt idx="2">
                  <c:v>Speakers</c:v>
                </c:pt>
              </c:strCache>
            </c:strRef>
          </c:cat>
          <c:val>
            <c:numRef>
              <c:f>'Pivot Table'!$B$73:$B$76</c:f>
              <c:numCache>
                <c:formatCode>General</c:formatCode>
                <c:ptCount val="3"/>
                <c:pt idx="0">
                  <c:v>1503</c:v>
                </c:pt>
                <c:pt idx="1">
                  <c:v>1615</c:v>
                </c:pt>
                <c:pt idx="2">
                  <c:v>1457</c:v>
                </c:pt>
              </c:numCache>
            </c:numRef>
          </c:val>
          <c:extLst>
            <c:ext xmlns:c16="http://schemas.microsoft.com/office/drawing/2014/chart" uri="{C3380CC4-5D6E-409C-BE32-E72D297353CC}">
              <c16:uniqueId val="{00000000-3EA8-44D6-869C-8659267633FD}"/>
            </c:ext>
          </c:extLst>
        </c:ser>
        <c:dLbls>
          <c:showLegendKey val="0"/>
          <c:showVal val="0"/>
          <c:showCatName val="0"/>
          <c:showSerName val="0"/>
          <c:showPercent val="0"/>
          <c:showBubbleSize val="0"/>
        </c:dLbls>
        <c:gapWidth val="219"/>
        <c:overlap val="-27"/>
        <c:axId val="494048351"/>
        <c:axId val="494036351"/>
      </c:barChart>
      <c:catAx>
        <c:axId val="49404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036351"/>
        <c:crosses val="autoZero"/>
        <c:auto val="1"/>
        <c:lblAlgn val="ctr"/>
        <c:lblOffset val="100"/>
        <c:noMultiLvlLbl val="0"/>
      </c:catAx>
      <c:valAx>
        <c:axId val="494036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04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Table!PivotTable12</c:name>
    <c:fmtId val="22"/>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'Pivot Table'!$B$88</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C61B-4905-A7EC-0BE62C5193B4}"/>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C61B-4905-A7EC-0BE62C5193B4}"/>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C61B-4905-A7EC-0BE62C5193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Table'!$A$89:$A$92</c:f>
              <c:strCache>
                <c:ptCount val="3"/>
                <c:pt idx="0">
                  <c:v>Furniture</c:v>
                </c:pt>
                <c:pt idx="1">
                  <c:v>LED TV's</c:v>
                </c:pt>
                <c:pt idx="2">
                  <c:v>Mobiles</c:v>
                </c:pt>
              </c:strCache>
            </c:strRef>
          </c:cat>
          <c:val>
            <c:numRef>
              <c:f>'Pivot Table'!$B$89:$B$92</c:f>
              <c:numCache>
                <c:formatCode>General</c:formatCode>
                <c:ptCount val="3"/>
                <c:pt idx="0">
                  <c:v>1233</c:v>
                </c:pt>
                <c:pt idx="1">
                  <c:v>694</c:v>
                </c:pt>
                <c:pt idx="2">
                  <c:v>1168</c:v>
                </c:pt>
              </c:numCache>
            </c:numRef>
          </c:val>
          <c:extLst>
            <c:ext xmlns:c16="http://schemas.microsoft.com/office/drawing/2014/chart" uri="{C3380CC4-5D6E-409C-BE32-E72D297353CC}">
              <c16:uniqueId val="{00000006-C61B-4905-A7EC-0BE62C5193B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Table!PivotTable8</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#,##0</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0BC4-4686-A80E-9EA6EBD0E0DA}"/>
            </c:ext>
          </c:extLst>
        </c:ser>
        <c:dLbls>
          <c:showLegendKey val="0"/>
          <c:showVal val="0"/>
          <c:showCatName val="0"/>
          <c:showSerName val="0"/>
          <c:showPercent val="0"/>
          <c:showBubbleSize val="0"/>
        </c:dLbls>
        <c:smooth val="0"/>
        <c:axId val="128588863"/>
        <c:axId val="128585503"/>
      </c:lineChart>
      <c:catAx>
        <c:axId val="12858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5503"/>
        <c:crosses val="autoZero"/>
        <c:auto val="1"/>
        <c:lblAlgn val="ctr"/>
        <c:lblOffset val="100"/>
        <c:noMultiLvlLbl val="0"/>
      </c:catAx>
      <c:valAx>
        <c:axId val="1285855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Table!PivotTable9</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29087081936541"/>
          <c:y val="4.8322651529023986E-2"/>
          <c:w val="0.80815485564304457"/>
          <c:h val="0.8416746864975212"/>
        </c:manualLayout>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Table'!$A$21:$A$27</c:f>
              <c:strCache>
                <c:ptCount val="6"/>
                <c:pt idx="0">
                  <c:v>Ongole</c:v>
                </c:pt>
                <c:pt idx="1">
                  <c:v>Vijayawada</c:v>
                </c:pt>
                <c:pt idx="2">
                  <c:v>Bapatla</c:v>
                </c:pt>
                <c:pt idx="3">
                  <c:v>Chirala</c:v>
                </c:pt>
                <c:pt idx="4">
                  <c:v>Guntur</c:v>
                </c:pt>
                <c:pt idx="5">
                  <c:v>Tenali</c:v>
                </c:pt>
              </c:strCache>
            </c:strRef>
          </c:cat>
          <c:val>
            <c:numRef>
              <c:f>'Pivot Table'!$B$21:$B$27</c:f>
              <c:numCache>
                <c:formatCode>#,##0</c:formatCode>
                <c:ptCount val="6"/>
                <c:pt idx="0">
                  <c:v>10438408</c:v>
                </c:pt>
                <c:pt idx="1">
                  <c:v>15080094</c:v>
                </c:pt>
                <c:pt idx="2">
                  <c:v>16052685</c:v>
                </c:pt>
                <c:pt idx="3">
                  <c:v>16926316</c:v>
                </c:pt>
                <c:pt idx="4">
                  <c:v>19179514</c:v>
                </c:pt>
                <c:pt idx="5">
                  <c:v>41054876</c:v>
                </c:pt>
              </c:numCache>
            </c:numRef>
          </c:val>
          <c:extLst>
            <c:ext xmlns:c16="http://schemas.microsoft.com/office/drawing/2014/chart" uri="{C3380CC4-5D6E-409C-BE32-E72D297353CC}">
              <c16:uniqueId val="{00000000-CA81-4726-8015-749B76E31B4D}"/>
            </c:ext>
          </c:extLst>
        </c:ser>
        <c:dLbls>
          <c:dLblPos val="outEnd"/>
          <c:showLegendKey val="0"/>
          <c:showVal val="1"/>
          <c:showCatName val="0"/>
          <c:showSerName val="0"/>
          <c:showPercent val="0"/>
          <c:showBubbleSize val="0"/>
        </c:dLbls>
        <c:gapWidth val="219"/>
        <c:overlap val="-27"/>
        <c:axId val="225005263"/>
        <c:axId val="225005743"/>
      </c:barChart>
      <c:catAx>
        <c:axId val="22500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005743"/>
        <c:crosses val="autoZero"/>
        <c:auto val="1"/>
        <c:lblAlgn val="ctr"/>
        <c:lblOffset val="100"/>
        <c:noMultiLvlLbl val="0"/>
      </c:catAx>
      <c:valAx>
        <c:axId val="2250057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00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c:name>
    <c:fmtId val="1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Table'!$A$40:$A$46</c:f>
              <c:strCache>
                <c:ptCount val="6"/>
                <c:pt idx="0">
                  <c:v>LED TV's</c:v>
                </c:pt>
                <c:pt idx="1">
                  <c:v>Speakers</c:v>
                </c:pt>
                <c:pt idx="2">
                  <c:v>Furniture</c:v>
                </c:pt>
                <c:pt idx="3">
                  <c:v>Mobiles</c:v>
                </c:pt>
                <c:pt idx="4">
                  <c:v>4K LED TV's</c:v>
                </c:pt>
                <c:pt idx="5">
                  <c:v>Laptops</c:v>
                </c:pt>
              </c:strCache>
            </c:strRef>
          </c:cat>
          <c:val>
            <c:numRef>
              <c:f>'Pivot Table'!$B$40:$B$46</c:f>
              <c:numCache>
                <c:formatCode>0.00%</c:formatCode>
                <c:ptCount val="6"/>
                <c:pt idx="0">
                  <c:v>2.9676432430838107E-2</c:v>
                </c:pt>
                <c:pt idx="1">
                  <c:v>3.3596339611969298E-2</c:v>
                </c:pt>
                <c:pt idx="2">
                  <c:v>4.4333858974184806E-2</c:v>
                </c:pt>
                <c:pt idx="3">
                  <c:v>8.7710746766245865E-2</c:v>
                </c:pt>
                <c:pt idx="4">
                  <c:v>0.39442202778658636</c:v>
                </c:pt>
                <c:pt idx="5">
                  <c:v>0.41026059443017554</c:v>
                </c:pt>
              </c:numCache>
            </c:numRef>
          </c:val>
          <c:extLst>
            <c:ext xmlns:c16="http://schemas.microsoft.com/office/drawing/2014/chart" uri="{C3380CC4-5D6E-409C-BE32-E72D297353CC}">
              <c16:uniqueId val="{00000000-2DE9-43DA-8CF8-F782E31C9F97}"/>
            </c:ext>
          </c:extLst>
        </c:ser>
        <c:dLbls>
          <c:dLblPos val="outEnd"/>
          <c:showLegendKey val="0"/>
          <c:showVal val="1"/>
          <c:showCatName val="0"/>
          <c:showSerName val="0"/>
          <c:showPercent val="0"/>
          <c:showBubbleSize val="0"/>
        </c:dLbls>
        <c:gapWidth val="100"/>
        <c:axId val="423087503"/>
        <c:axId val="423088463"/>
      </c:barChart>
      <c:catAx>
        <c:axId val="42308750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3088463"/>
        <c:crosses val="autoZero"/>
        <c:auto val="1"/>
        <c:lblAlgn val="ctr"/>
        <c:lblOffset val="100"/>
        <c:noMultiLvlLbl val="0"/>
      </c:catAx>
      <c:valAx>
        <c:axId val="423088463"/>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308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#,##0</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737B-4ECF-8100-E36BC1C0DC12}"/>
            </c:ext>
          </c:extLst>
        </c:ser>
        <c:dLbls>
          <c:showLegendKey val="0"/>
          <c:showVal val="0"/>
          <c:showCatName val="0"/>
          <c:showSerName val="0"/>
          <c:showPercent val="0"/>
          <c:showBubbleSize val="0"/>
        </c:dLbls>
        <c:smooth val="0"/>
        <c:axId val="128588863"/>
        <c:axId val="128585503"/>
      </c:lineChart>
      <c:catAx>
        <c:axId val="12858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5503"/>
        <c:crosses val="autoZero"/>
        <c:auto val="1"/>
        <c:lblAlgn val="ctr"/>
        <c:lblOffset val="100"/>
        <c:noMultiLvlLbl val="0"/>
      </c:catAx>
      <c:valAx>
        <c:axId val="1285855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46194225721785"/>
          <c:y val="7.407407407407407E-2"/>
          <c:w val="0.80815485564304457"/>
          <c:h val="0.8416746864975212"/>
        </c:manualLayout>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cat>
            <c:strRef>
              <c:f>'Pivot Table'!$A$21:$A$27</c:f>
              <c:strCache>
                <c:ptCount val="6"/>
                <c:pt idx="0">
                  <c:v>Ongole</c:v>
                </c:pt>
                <c:pt idx="1">
                  <c:v>Vijayawada</c:v>
                </c:pt>
                <c:pt idx="2">
                  <c:v>Bapatla</c:v>
                </c:pt>
                <c:pt idx="3">
                  <c:v>Chirala</c:v>
                </c:pt>
                <c:pt idx="4">
                  <c:v>Guntur</c:v>
                </c:pt>
                <c:pt idx="5">
                  <c:v>Tenali</c:v>
                </c:pt>
              </c:strCache>
            </c:strRef>
          </c:cat>
          <c:val>
            <c:numRef>
              <c:f>'Pivot Table'!$B$21:$B$27</c:f>
              <c:numCache>
                <c:formatCode>#,##0</c:formatCode>
                <c:ptCount val="6"/>
                <c:pt idx="0">
                  <c:v>10438408</c:v>
                </c:pt>
                <c:pt idx="1">
                  <c:v>15080094</c:v>
                </c:pt>
                <c:pt idx="2">
                  <c:v>16052685</c:v>
                </c:pt>
                <c:pt idx="3">
                  <c:v>16926316</c:v>
                </c:pt>
                <c:pt idx="4">
                  <c:v>19179514</c:v>
                </c:pt>
                <c:pt idx="5">
                  <c:v>41054876</c:v>
                </c:pt>
              </c:numCache>
            </c:numRef>
          </c:val>
          <c:extLst>
            <c:ext xmlns:c16="http://schemas.microsoft.com/office/drawing/2014/chart" uri="{C3380CC4-5D6E-409C-BE32-E72D297353CC}">
              <c16:uniqueId val="{00000000-1A98-4CA4-B57E-57ECFCD01560}"/>
            </c:ext>
          </c:extLst>
        </c:ser>
        <c:dLbls>
          <c:showLegendKey val="0"/>
          <c:showVal val="0"/>
          <c:showCatName val="0"/>
          <c:showSerName val="0"/>
          <c:showPercent val="0"/>
          <c:showBubbleSize val="0"/>
        </c:dLbls>
        <c:gapWidth val="219"/>
        <c:overlap val="-27"/>
        <c:axId val="225005263"/>
        <c:axId val="225005743"/>
      </c:barChart>
      <c:catAx>
        <c:axId val="22500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005743"/>
        <c:crosses val="autoZero"/>
        <c:auto val="1"/>
        <c:lblAlgn val="ctr"/>
        <c:lblOffset val="100"/>
        <c:noMultiLvlLbl val="0"/>
      </c:catAx>
      <c:valAx>
        <c:axId val="2250057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00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c:name>
    <c:fmtId val="1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Table'!$A$40:$A$46</c:f>
              <c:strCache>
                <c:ptCount val="6"/>
                <c:pt idx="0">
                  <c:v>LED TV's</c:v>
                </c:pt>
                <c:pt idx="1">
                  <c:v>Speakers</c:v>
                </c:pt>
                <c:pt idx="2">
                  <c:v>Furniture</c:v>
                </c:pt>
                <c:pt idx="3">
                  <c:v>Mobiles</c:v>
                </c:pt>
                <c:pt idx="4">
                  <c:v>4K LED TV's</c:v>
                </c:pt>
                <c:pt idx="5">
                  <c:v>Laptops</c:v>
                </c:pt>
              </c:strCache>
            </c:strRef>
          </c:cat>
          <c:val>
            <c:numRef>
              <c:f>'Pivot Table'!$B$40:$B$46</c:f>
              <c:numCache>
                <c:formatCode>0.00%</c:formatCode>
                <c:ptCount val="6"/>
                <c:pt idx="0">
                  <c:v>2.9676432430838107E-2</c:v>
                </c:pt>
                <c:pt idx="1">
                  <c:v>3.3596339611969298E-2</c:v>
                </c:pt>
                <c:pt idx="2">
                  <c:v>4.4333858974184806E-2</c:v>
                </c:pt>
                <c:pt idx="3">
                  <c:v>8.7710746766245865E-2</c:v>
                </c:pt>
                <c:pt idx="4">
                  <c:v>0.39442202778658636</c:v>
                </c:pt>
                <c:pt idx="5">
                  <c:v>0.41026059443017554</c:v>
                </c:pt>
              </c:numCache>
            </c:numRef>
          </c:val>
          <c:extLst>
            <c:ext xmlns:c16="http://schemas.microsoft.com/office/drawing/2014/chart" uri="{C3380CC4-5D6E-409C-BE32-E72D297353CC}">
              <c16:uniqueId val="{00000000-65D8-4547-8974-9C350D3C13AD}"/>
            </c:ext>
          </c:extLst>
        </c:ser>
        <c:dLbls>
          <c:dLblPos val="outEnd"/>
          <c:showLegendKey val="0"/>
          <c:showVal val="1"/>
          <c:showCatName val="0"/>
          <c:showSerName val="0"/>
          <c:showPercent val="0"/>
          <c:showBubbleSize val="0"/>
        </c:dLbls>
        <c:gapWidth val="100"/>
        <c:axId val="423087503"/>
        <c:axId val="423088463"/>
      </c:barChart>
      <c:catAx>
        <c:axId val="42308750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3088463"/>
        <c:crosses val="autoZero"/>
        <c:auto val="1"/>
        <c:lblAlgn val="ctr"/>
        <c:lblOffset val="100"/>
        <c:noMultiLvlLbl val="0"/>
      </c:catAx>
      <c:valAx>
        <c:axId val="423088463"/>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2308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Table'!$A$57</c:f>
              <c:strCache>
                <c:ptCount val="1"/>
                <c:pt idx="0">
                  <c:v>Total</c:v>
                </c:pt>
              </c:strCache>
            </c:strRef>
          </c:tx>
          <c:spPr>
            <a:solidFill>
              <a:schemeClr val="accent1"/>
            </a:solidFill>
            <a:ln>
              <a:noFill/>
            </a:ln>
            <a:effectLst/>
          </c:spPr>
          <c:invertIfNegative val="0"/>
          <c:cat>
            <c:strRef>
              <c:f>'Pivot Table'!$A$58</c:f>
              <c:strCache>
                <c:ptCount val="1"/>
                <c:pt idx="0">
                  <c:v>Total</c:v>
                </c:pt>
              </c:strCache>
            </c:strRef>
          </c:cat>
          <c:val>
            <c:numRef>
              <c:f>'Pivot Table'!$A$58</c:f>
              <c:numCache>
                <c:formatCode>#,##0</c:formatCode>
                <c:ptCount val="1"/>
                <c:pt idx="0">
                  <c:v>118731893</c:v>
                </c:pt>
              </c:numCache>
            </c:numRef>
          </c:val>
          <c:extLst>
            <c:ext xmlns:c16="http://schemas.microsoft.com/office/drawing/2014/chart" uri="{C3380CC4-5D6E-409C-BE32-E72D297353CC}">
              <c16:uniqueId val="{00000000-8A11-45E7-98F8-99DF54E4FB0C}"/>
            </c:ext>
          </c:extLst>
        </c:ser>
        <c:dLbls>
          <c:showLegendKey val="0"/>
          <c:showVal val="0"/>
          <c:showCatName val="0"/>
          <c:showSerName val="0"/>
          <c:showPercent val="0"/>
          <c:showBubbleSize val="0"/>
        </c:dLbls>
        <c:gapWidth val="219"/>
        <c:overlap val="-27"/>
        <c:axId val="420727471"/>
        <c:axId val="420721711"/>
      </c:barChart>
      <c:catAx>
        <c:axId val="42072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21711"/>
        <c:crosses val="autoZero"/>
        <c:auto val="1"/>
        <c:lblAlgn val="ctr"/>
        <c:lblOffset val="100"/>
        <c:noMultiLvlLbl val="0"/>
      </c:catAx>
      <c:valAx>
        <c:axId val="42072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2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Table!PivotTable10</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69203849518809"/>
          <c:y val="0.25865522018081066"/>
          <c:w val="0.77378937007874016"/>
          <c:h val="0.6293157626130067"/>
        </c:manualLayout>
      </c:layout>
      <c:barChart>
        <c:barDir val="col"/>
        <c:grouping val="clustered"/>
        <c:varyColors val="0"/>
        <c:ser>
          <c:idx val="0"/>
          <c:order val="0"/>
          <c:tx>
            <c:strRef>
              <c:f>'Pivot Table'!$A$61</c:f>
              <c:strCache>
                <c:ptCount val="1"/>
                <c:pt idx="0">
                  <c:v>Total</c:v>
                </c:pt>
              </c:strCache>
            </c:strRef>
          </c:tx>
          <c:spPr>
            <a:solidFill>
              <a:schemeClr val="accent1"/>
            </a:solidFill>
            <a:ln>
              <a:noFill/>
            </a:ln>
            <a:effectLst/>
          </c:spPr>
          <c:invertIfNegative val="0"/>
          <c:cat>
            <c:strRef>
              <c:f>'Pivot Table'!$A$62</c:f>
              <c:strCache>
                <c:ptCount val="1"/>
                <c:pt idx="0">
                  <c:v>Total</c:v>
                </c:pt>
              </c:strCache>
            </c:strRef>
          </c:cat>
          <c:val>
            <c:numRef>
              <c:f>'Pivot Table'!$A$62</c:f>
              <c:numCache>
                <c:formatCode>General</c:formatCode>
                <c:ptCount val="1"/>
                <c:pt idx="0">
                  <c:v>278</c:v>
                </c:pt>
              </c:numCache>
            </c:numRef>
          </c:val>
          <c:extLst>
            <c:ext xmlns:c16="http://schemas.microsoft.com/office/drawing/2014/chart" uri="{C3380CC4-5D6E-409C-BE32-E72D297353CC}">
              <c16:uniqueId val="{00000000-3A0D-47CF-9275-BE9D3659EF87}"/>
            </c:ext>
          </c:extLst>
        </c:ser>
        <c:dLbls>
          <c:showLegendKey val="0"/>
          <c:showVal val="0"/>
          <c:showCatName val="0"/>
          <c:showSerName val="0"/>
          <c:showPercent val="0"/>
          <c:showBubbleSize val="0"/>
        </c:dLbls>
        <c:gapWidth val="219"/>
        <c:overlap val="-27"/>
        <c:axId val="420726511"/>
        <c:axId val="663255023"/>
      </c:barChart>
      <c:catAx>
        <c:axId val="42072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255023"/>
        <c:crosses val="autoZero"/>
        <c:auto val="1"/>
        <c:lblAlgn val="ctr"/>
        <c:lblOffset val="100"/>
        <c:noMultiLvlLbl val="0"/>
      </c:catAx>
      <c:valAx>
        <c:axId val="66325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2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Table'!$A$73:$A$76</c:f>
              <c:strCache>
                <c:ptCount val="3"/>
                <c:pt idx="0">
                  <c:v>4K LED TV's</c:v>
                </c:pt>
                <c:pt idx="1">
                  <c:v>Laptops</c:v>
                </c:pt>
                <c:pt idx="2">
                  <c:v>Speakers</c:v>
                </c:pt>
              </c:strCache>
            </c:strRef>
          </c:cat>
          <c:val>
            <c:numRef>
              <c:f>'Pivot Table'!$B$73:$B$76</c:f>
              <c:numCache>
                <c:formatCode>General</c:formatCode>
                <c:ptCount val="3"/>
                <c:pt idx="0">
                  <c:v>1503</c:v>
                </c:pt>
                <c:pt idx="1">
                  <c:v>1615</c:v>
                </c:pt>
                <c:pt idx="2">
                  <c:v>1457</c:v>
                </c:pt>
              </c:numCache>
            </c:numRef>
          </c:val>
          <c:extLst>
            <c:ext xmlns:c16="http://schemas.microsoft.com/office/drawing/2014/chart" uri="{C3380CC4-5D6E-409C-BE32-E72D297353CC}">
              <c16:uniqueId val="{00000000-65AD-4B19-9DB0-A528A91FE924}"/>
            </c:ext>
          </c:extLst>
        </c:ser>
        <c:dLbls>
          <c:showLegendKey val="0"/>
          <c:showVal val="0"/>
          <c:showCatName val="0"/>
          <c:showSerName val="0"/>
          <c:showPercent val="0"/>
          <c:showBubbleSize val="0"/>
        </c:dLbls>
        <c:gapWidth val="219"/>
        <c:overlap val="-27"/>
        <c:axId val="494048351"/>
        <c:axId val="494036351"/>
      </c:barChart>
      <c:catAx>
        <c:axId val="49404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036351"/>
        <c:crosses val="autoZero"/>
        <c:auto val="1"/>
        <c:lblAlgn val="ctr"/>
        <c:lblOffset val="100"/>
        <c:noMultiLvlLbl val="0"/>
      </c:catAx>
      <c:valAx>
        <c:axId val="494036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04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Table!PivotTable12</c:name>
    <c:fmtId val="16"/>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Table'!$B$88</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Table'!$A$89:$A$92</c:f>
              <c:strCache>
                <c:ptCount val="3"/>
                <c:pt idx="0">
                  <c:v>Furniture</c:v>
                </c:pt>
                <c:pt idx="1">
                  <c:v>LED TV's</c:v>
                </c:pt>
                <c:pt idx="2">
                  <c:v>Mobiles</c:v>
                </c:pt>
              </c:strCache>
            </c:strRef>
          </c:cat>
          <c:val>
            <c:numRef>
              <c:f>'Pivot Table'!$B$89:$B$92</c:f>
              <c:numCache>
                <c:formatCode>General</c:formatCode>
                <c:ptCount val="3"/>
                <c:pt idx="0">
                  <c:v>1233</c:v>
                </c:pt>
                <c:pt idx="1">
                  <c:v>694</c:v>
                </c:pt>
                <c:pt idx="2">
                  <c:v>1168</c:v>
                </c:pt>
              </c:numCache>
            </c:numRef>
          </c:val>
          <c:extLst>
            <c:ext xmlns:c16="http://schemas.microsoft.com/office/drawing/2014/chart" uri="{C3380CC4-5D6E-409C-BE32-E72D297353CC}">
              <c16:uniqueId val="{00000000-14FB-4140-A4A0-D11E38F984A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DashBoard.xlsx]Pivot Table!PivotTable11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Table'!$B$72</c:f>
              <c:strCache>
                <c:ptCount val="1"/>
                <c:pt idx="0">
                  <c:v>Total</c:v>
                </c:pt>
              </c:strCache>
            </c:strRef>
          </c:tx>
          <c:dPt>
            <c:idx val="0"/>
            <c:bubble3D val="0"/>
            <c:spPr>
              <a:solidFill>
                <a:schemeClr val="accent2">
                  <a:shade val="65000"/>
                </a:schemeClr>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2">
                  <a:tint val="6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Table'!$A$73:$A$76</c:f>
              <c:strCache>
                <c:ptCount val="3"/>
                <c:pt idx="0">
                  <c:v>4K LED TV's</c:v>
                </c:pt>
                <c:pt idx="1">
                  <c:v>Laptops</c:v>
                </c:pt>
                <c:pt idx="2">
                  <c:v>Speakers</c:v>
                </c:pt>
              </c:strCache>
            </c:strRef>
          </c:cat>
          <c:val>
            <c:numRef>
              <c:f>'Pivot Table'!$B$73:$B$76</c:f>
              <c:numCache>
                <c:formatCode>General</c:formatCode>
                <c:ptCount val="3"/>
                <c:pt idx="0">
                  <c:v>1503</c:v>
                </c:pt>
                <c:pt idx="1">
                  <c:v>1615</c:v>
                </c:pt>
                <c:pt idx="2">
                  <c:v>1457</c:v>
                </c:pt>
              </c:numCache>
            </c:numRef>
          </c:val>
          <c:extLst>
            <c:ext xmlns:c16="http://schemas.microsoft.com/office/drawing/2014/chart" uri="{C3380CC4-5D6E-409C-BE32-E72D297353CC}">
              <c16:uniqueId val="{00000000-3242-4A12-BA61-7FC63BF67C0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Table!PivotTable13</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80314960629919"/>
          <c:y val="7.407407407407407E-2"/>
          <c:w val="0.89019685039370078"/>
          <c:h val="0.8416746864975212"/>
        </c:manualLayout>
      </c:layout>
      <c:barChart>
        <c:barDir val="col"/>
        <c:grouping val="clustered"/>
        <c:varyColors val="0"/>
        <c:ser>
          <c:idx val="0"/>
          <c:order val="0"/>
          <c:tx>
            <c:strRef>
              <c:f>'Pivot Table'!$B$98</c:f>
              <c:strCache>
                <c:ptCount val="1"/>
                <c:pt idx="0">
                  <c:v>Total</c:v>
                </c:pt>
              </c:strCache>
            </c:strRef>
          </c:tx>
          <c:spPr>
            <a:solidFill>
              <a:schemeClr val="accent1"/>
            </a:solidFill>
            <a:ln>
              <a:noFill/>
            </a:ln>
            <a:effectLst/>
          </c:spPr>
          <c:invertIfNegative val="0"/>
          <c:cat>
            <c:strRef>
              <c:f>'Pivot Table'!$A$99:$A$102</c:f>
              <c:strCache>
                <c:ptCount val="3"/>
                <c:pt idx="0">
                  <c:v>Ganesh</c:v>
                </c:pt>
                <c:pt idx="1">
                  <c:v>Gopi</c:v>
                </c:pt>
                <c:pt idx="2">
                  <c:v>Kiran</c:v>
                </c:pt>
              </c:strCache>
            </c:strRef>
          </c:cat>
          <c:val>
            <c:numRef>
              <c:f>'Pivot Table'!$B$99:$B$102</c:f>
              <c:numCache>
                <c:formatCode>General</c:formatCode>
                <c:ptCount val="3"/>
                <c:pt idx="0">
                  <c:v>1687</c:v>
                </c:pt>
                <c:pt idx="1">
                  <c:v>1534</c:v>
                </c:pt>
                <c:pt idx="2">
                  <c:v>1407</c:v>
                </c:pt>
              </c:numCache>
            </c:numRef>
          </c:val>
          <c:extLst>
            <c:ext xmlns:c16="http://schemas.microsoft.com/office/drawing/2014/chart" uri="{C3380CC4-5D6E-409C-BE32-E72D297353CC}">
              <c16:uniqueId val="{00000000-580B-4D1D-892B-BA690A01DCF2}"/>
            </c:ext>
          </c:extLst>
        </c:ser>
        <c:dLbls>
          <c:showLegendKey val="0"/>
          <c:showVal val="0"/>
          <c:showCatName val="0"/>
          <c:showSerName val="0"/>
          <c:showPercent val="0"/>
          <c:showBubbleSize val="0"/>
        </c:dLbls>
        <c:gapWidth val="219"/>
        <c:overlap val="-27"/>
        <c:axId val="636649615"/>
        <c:axId val="636652975"/>
      </c:barChart>
      <c:catAx>
        <c:axId val="63664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652975"/>
        <c:crosses val="autoZero"/>
        <c:auto val="1"/>
        <c:lblAlgn val="ctr"/>
        <c:lblOffset val="100"/>
        <c:noMultiLvlLbl val="0"/>
      </c:catAx>
      <c:valAx>
        <c:axId val="636652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64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Table!PivotTable14</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Table'!$B$112</c:f>
              <c:strCache>
                <c:ptCount val="1"/>
                <c:pt idx="0">
                  <c:v>Total</c:v>
                </c:pt>
              </c:strCache>
            </c:strRef>
          </c:tx>
          <c:spPr>
            <a:solidFill>
              <a:schemeClr val="accent1"/>
            </a:solidFill>
            <a:ln>
              <a:noFill/>
            </a:ln>
            <a:effectLst/>
          </c:spPr>
          <c:invertIfNegative val="0"/>
          <c:cat>
            <c:strRef>
              <c:f>'Pivot Table'!$A$113:$A$116</c:f>
              <c:strCache>
                <c:ptCount val="3"/>
                <c:pt idx="0">
                  <c:v>Mahesh</c:v>
                </c:pt>
                <c:pt idx="1">
                  <c:v>Prathap</c:v>
                </c:pt>
                <c:pt idx="2">
                  <c:v>Ramesh</c:v>
                </c:pt>
              </c:strCache>
            </c:strRef>
          </c:cat>
          <c:val>
            <c:numRef>
              <c:f>'Pivot Table'!$B$113:$B$116</c:f>
              <c:numCache>
                <c:formatCode>General</c:formatCode>
                <c:ptCount val="3"/>
                <c:pt idx="0">
                  <c:v>810</c:v>
                </c:pt>
                <c:pt idx="1">
                  <c:v>1285</c:v>
                </c:pt>
                <c:pt idx="2">
                  <c:v>947</c:v>
                </c:pt>
              </c:numCache>
            </c:numRef>
          </c:val>
          <c:extLst>
            <c:ext xmlns:c16="http://schemas.microsoft.com/office/drawing/2014/chart" uri="{C3380CC4-5D6E-409C-BE32-E72D297353CC}">
              <c16:uniqueId val="{00000000-AF54-40F6-B698-9C1BD80B5C99}"/>
            </c:ext>
          </c:extLst>
        </c:ser>
        <c:dLbls>
          <c:showLegendKey val="0"/>
          <c:showVal val="0"/>
          <c:showCatName val="0"/>
          <c:showSerName val="0"/>
          <c:showPercent val="0"/>
          <c:showBubbleSize val="0"/>
        </c:dLbls>
        <c:gapWidth val="219"/>
        <c:overlap val="-27"/>
        <c:axId val="494123711"/>
        <c:axId val="494115071"/>
      </c:barChart>
      <c:catAx>
        <c:axId val="49412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15071"/>
        <c:crosses val="autoZero"/>
        <c:auto val="1"/>
        <c:lblAlgn val="ctr"/>
        <c:lblOffset val="100"/>
        <c:noMultiLvlLbl val="0"/>
      </c:catAx>
      <c:valAx>
        <c:axId val="49411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2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Table!PivotTable15</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Table'!$B$131</c:f>
              <c:strCache>
                <c:ptCount val="1"/>
                <c:pt idx="0">
                  <c:v>Total</c:v>
                </c:pt>
              </c:strCache>
            </c:strRef>
          </c:tx>
          <c:spPr>
            <a:solidFill>
              <a:schemeClr val="accent1"/>
            </a:solidFill>
            <a:ln>
              <a:noFill/>
            </a:ln>
            <a:effectLst/>
          </c:spPr>
          <c:invertIfNegative val="0"/>
          <c:cat>
            <c:strRef>
              <c:f>'Pivot Table'!$A$132:$A$138</c:f>
              <c:strCache>
                <c:ptCount val="6"/>
                <c:pt idx="0">
                  <c:v>Mahesh</c:v>
                </c:pt>
                <c:pt idx="1">
                  <c:v>Ramesh</c:v>
                </c:pt>
                <c:pt idx="2">
                  <c:v>Prathap</c:v>
                </c:pt>
                <c:pt idx="3">
                  <c:v>Kiran</c:v>
                </c:pt>
                <c:pt idx="4">
                  <c:v>Gopi</c:v>
                </c:pt>
                <c:pt idx="5">
                  <c:v>Ganesh</c:v>
                </c:pt>
              </c:strCache>
            </c:strRef>
          </c:cat>
          <c:val>
            <c:numRef>
              <c:f>'Pivot Table'!$B$132:$B$138</c:f>
              <c:numCache>
                <c:formatCode>General</c:formatCode>
                <c:ptCount val="6"/>
                <c:pt idx="0">
                  <c:v>810</c:v>
                </c:pt>
                <c:pt idx="1">
                  <c:v>947</c:v>
                </c:pt>
                <c:pt idx="2">
                  <c:v>1285</c:v>
                </c:pt>
                <c:pt idx="3">
                  <c:v>1407</c:v>
                </c:pt>
                <c:pt idx="4">
                  <c:v>1534</c:v>
                </c:pt>
                <c:pt idx="5">
                  <c:v>1687</c:v>
                </c:pt>
              </c:numCache>
            </c:numRef>
          </c:val>
          <c:extLst>
            <c:ext xmlns:c16="http://schemas.microsoft.com/office/drawing/2014/chart" uri="{C3380CC4-5D6E-409C-BE32-E72D297353CC}">
              <c16:uniqueId val="{00000000-5FD4-42A3-871D-64B3F78EECE4}"/>
            </c:ext>
          </c:extLst>
        </c:ser>
        <c:dLbls>
          <c:showLegendKey val="0"/>
          <c:showVal val="0"/>
          <c:showCatName val="0"/>
          <c:showSerName val="0"/>
          <c:showPercent val="0"/>
          <c:showBubbleSize val="0"/>
        </c:dLbls>
        <c:gapWidth val="182"/>
        <c:axId val="996192639"/>
        <c:axId val="996194559"/>
      </c:barChart>
      <c:catAx>
        <c:axId val="99619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194559"/>
        <c:crosses val="autoZero"/>
        <c:auto val="1"/>
        <c:lblAlgn val="ctr"/>
        <c:lblOffset val="100"/>
        <c:noMultiLvlLbl val="0"/>
      </c:catAx>
      <c:valAx>
        <c:axId val="996194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19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salesman!A1"/><Relationship Id="rId1" Type="http://schemas.openxmlformats.org/officeDocument/2006/relationships/hyperlink" Target="#products!A1"/><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hyperlink" Target="#products!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hyperlink" Target="#products!A1"/><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hyperlink" Target="#salesman!A1"/></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38100</xdr:rowOff>
    </xdr:from>
    <xdr:to>
      <xdr:col>21</xdr:col>
      <xdr:colOff>476250</xdr:colOff>
      <xdr:row>35</xdr:row>
      <xdr:rowOff>95250</xdr:rowOff>
    </xdr:to>
    <xdr:sp macro="" textlink="">
      <xdr:nvSpPr>
        <xdr:cNvPr id="2" name="Rectangle: Rounded Corners 1">
          <a:extLst>
            <a:ext uri="{FF2B5EF4-FFF2-40B4-BE49-F238E27FC236}">
              <a16:creationId xmlns:a16="http://schemas.microsoft.com/office/drawing/2014/main" id="{FE31B803-E5C7-4856-B101-5926DAAF5B0C}"/>
            </a:ext>
          </a:extLst>
        </xdr:cNvPr>
        <xdr:cNvSpPr/>
      </xdr:nvSpPr>
      <xdr:spPr>
        <a:xfrm>
          <a:off x="0" y="38100"/>
          <a:ext cx="13277850" cy="650240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120650</xdr:colOff>
      <xdr:row>0</xdr:row>
      <xdr:rowOff>44450</xdr:rowOff>
    </xdr:from>
    <xdr:to>
      <xdr:col>22</xdr:col>
      <xdr:colOff>190500</xdr:colOff>
      <xdr:row>35</xdr:row>
      <xdr:rowOff>101600</xdr:rowOff>
    </xdr:to>
    <xdr:sp macro="" textlink="">
      <xdr:nvSpPr>
        <xdr:cNvPr id="3" name="Rectangle: Rounded Corners 2">
          <a:extLst>
            <a:ext uri="{FF2B5EF4-FFF2-40B4-BE49-F238E27FC236}">
              <a16:creationId xmlns:a16="http://schemas.microsoft.com/office/drawing/2014/main" id="{D77ADA88-F784-4189-AB91-38AC35EAA5C1}"/>
            </a:ext>
          </a:extLst>
        </xdr:cNvPr>
        <xdr:cNvSpPr/>
      </xdr:nvSpPr>
      <xdr:spPr>
        <a:xfrm>
          <a:off x="1949450" y="44450"/>
          <a:ext cx="11652250" cy="6502400"/>
        </a:xfrm>
        <a:prstGeom prst="roundRect">
          <a:avLst>
            <a:gd name="adj" fmla="val 2441"/>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374650</xdr:colOff>
      <xdr:row>6</xdr:row>
      <xdr:rowOff>127000</xdr:rowOff>
    </xdr:from>
    <xdr:to>
      <xdr:col>2</xdr:col>
      <xdr:colOff>501650</xdr:colOff>
      <xdr:row>9</xdr:row>
      <xdr:rowOff>12700</xdr:rowOff>
    </xdr:to>
    <xdr:sp macro="" textlink="">
      <xdr:nvSpPr>
        <xdr:cNvPr id="4" name="Rectangle 3">
          <a:extLst>
            <a:ext uri="{FF2B5EF4-FFF2-40B4-BE49-F238E27FC236}">
              <a16:creationId xmlns:a16="http://schemas.microsoft.com/office/drawing/2014/main" id="{1CD65DBB-DA96-498C-8D5A-F2AEB850FE7A}"/>
            </a:ext>
          </a:extLst>
        </xdr:cNvPr>
        <xdr:cNvSpPr/>
      </xdr:nvSpPr>
      <xdr:spPr>
        <a:xfrm>
          <a:off x="374650" y="1231900"/>
          <a:ext cx="1346200" cy="438150"/>
        </a:xfrm>
        <a:prstGeom prst="rect">
          <a:avLst/>
        </a:prstGeom>
        <a:ln>
          <a:solidFill>
            <a:schemeClr val="accent1">
              <a:shade val="1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b="1">
              <a:effectLst>
                <a:outerShdw blurRad="50800" dist="50800" dir="5400000" algn="ctr" rotWithShape="0">
                  <a:schemeClr val="accent1">
                    <a:lumMod val="40000"/>
                    <a:lumOff val="60000"/>
                  </a:schemeClr>
                </a:outerShdw>
              </a:effectLst>
            </a:rPr>
            <a:t>Dash </a:t>
          </a:r>
          <a:r>
            <a:rPr lang="en-IN" sz="1800" b="1" i="1">
              <a:effectLst>
                <a:outerShdw blurRad="50800" dist="50800" dir="5400000" algn="ctr" rotWithShape="0">
                  <a:schemeClr val="accent1">
                    <a:lumMod val="40000"/>
                    <a:lumOff val="60000"/>
                  </a:schemeClr>
                </a:outerShdw>
              </a:effectLst>
            </a:rPr>
            <a:t>Board</a:t>
          </a:r>
        </a:p>
      </xdr:txBody>
    </xdr:sp>
    <xdr:clientData/>
  </xdr:twoCellAnchor>
  <xdr:twoCellAnchor editAs="oneCell">
    <xdr:from>
      <xdr:col>3</xdr:col>
      <xdr:colOff>209550</xdr:colOff>
      <xdr:row>15</xdr:row>
      <xdr:rowOff>12700</xdr:rowOff>
    </xdr:from>
    <xdr:to>
      <xdr:col>4</xdr:col>
      <xdr:colOff>590550</xdr:colOff>
      <xdr:row>20</xdr:row>
      <xdr:rowOff>6350</xdr:rowOff>
    </xdr:to>
    <xdr:pic>
      <xdr:nvPicPr>
        <xdr:cNvPr id="5" name="Graphic 4" descr="Bar chart with solid fill">
          <a:extLst>
            <a:ext uri="{FF2B5EF4-FFF2-40B4-BE49-F238E27FC236}">
              <a16:creationId xmlns:a16="http://schemas.microsoft.com/office/drawing/2014/main" id="{9EE42DDD-D123-44D6-A9F6-C7FF87612CD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38350" y="2774950"/>
          <a:ext cx="990600" cy="914400"/>
        </a:xfrm>
        <a:prstGeom prst="rect">
          <a:avLst/>
        </a:prstGeom>
      </xdr:spPr>
    </xdr:pic>
    <xdr:clientData/>
  </xdr:twoCellAnchor>
  <xdr:twoCellAnchor>
    <xdr:from>
      <xdr:col>4</xdr:col>
      <xdr:colOff>520700</xdr:colOff>
      <xdr:row>16</xdr:row>
      <xdr:rowOff>0</xdr:rowOff>
    </xdr:from>
    <xdr:to>
      <xdr:col>6</xdr:col>
      <xdr:colOff>476250</xdr:colOff>
      <xdr:row>18</xdr:row>
      <xdr:rowOff>95250</xdr:rowOff>
    </xdr:to>
    <xdr:sp macro="" textlink="">
      <xdr:nvSpPr>
        <xdr:cNvPr id="6" name="Rectangle 5">
          <a:extLst>
            <a:ext uri="{FF2B5EF4-FFF2-40B4-BE49-F238E27FC236}">
              <a16:creationId xmlns:a16="http://schemas.microsoft.com/office/drawing/2014/main" id="{5484DFA5-6988-4972-B7FB-A56A32DAF973}"/>
            </a:ext>
          </a:extLst>
        </xdr:cNvPr>
        <xdr:cNvSpPr/>
      </xdr:nvSpPr>
      <xdr:spPr>
        <a:xfrm>
          <a:off x="2959100" y="2946400"/>
          <a:ext cx="1174750" cy="463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2">
                  <a:lumMod val="75000"/>
                  <a:lumOff val="25000"/>
                </a:schemeClr>
              </a:solidFill>
            </a:rPr>
            <a:t>Analytics</a:t>
          </a:r>
        </a:p>
        <a:p>
          <a:pPr algn="l"/>
          <a:endParaRPr lang="en-IN" sz="2000"/>
        </a:p>
      </xdr:txBody>
    </xdr:sp>
    <xdr:clientData/>
  </xdr:twoCellAnchor>
  <xdr:twoCellAnchor>
    <xdr:from>
      <xdr:col>0</xdr:col>
      <xdr:colOff>374650</xdr:colOff>
      <xdr:row>10</xdr:row>
      <xdr:rowOff>12700</xdr:rowOff>
    </xdr:from>
    <xdr:to>
      <xdr:col>2</xdr:col>
      <xdr:colOff>476250</xdr:colOff>
      <xdr:row>12</xdr:row>
      <xdr:rowOff>95250</xdr:rowOff>
    </xdr:to>
    <xdr:sp macro="" textlink="">
      <xdr:nvSpPr>
        <xdr:cNvPr id="7" name="Rectangle 6">
          <a:extLst>
            <a:ext uri="{FF2B5EF4-FFF2-40B4-BE49-F238E27FC236}">
              <a16:creationId xmlns:a16="http://schemas.microsoft.com/office/drawing/2014/main" id="{66F8D019-8BA2-46D1-B922-7DE25BAE221D}"/>
            </a:ext>
          </a:extLst>
        </xdr:cNvPr>
        <xdr:cNvSpPr/>
      </xdr:nvSpPr>
      <xdr:spPr>
        <a:xfrm>
          <a:off x="374650" y="1854200"/>
          <a:ext cx="1320800" cy="450850"/>
        </a:xfrm>
        <a:prstGeom prst="rect">
          <a:avLst/>
        </a:prstGeom>
        <a:ln>
          <a:gradFill>
            <a:gsLst>
              <a:gs pos="64972">
                <a:srgbClr val="83CAEB">
                  <a:alpha val="97000"/>
                </a:srgb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b="1" i="0">
              <a:effectLst>
                <a:outerShdw blurRad="50800" dist="50800" dir="5400000" algn="ctr" rotWithShape="0">
                  <a:schemeClr val="tx2">
                    <a:lumMod val="25000"/>
                    <a:lumOff val="75000"/>
                  </a:schemeClr>
                </a:outerShdw>
              </a:effectLst>
            </a:rPr>
            <a:t>Products</a:t>
          </a:r>
        </a:p>
      </xdr:txBody>
    </xdr:sp>
    <xdr:clientData/>
  </xdr:twoCellAnchor>
  <xdr:twoCellAnchor>
    <xdr:from>
      <xdr:col>0</xdr:col>
      <xdr:colOff>355600</xdr:colOff>
      <xdr:row>13</xdr:row>
      <xdr:rowOff>146050</xdr:rowOff>
    </xdr:from>
    <xdr:to>
      <xdr:col>2</xdr:col>
      <xdr:colOff>457200</xdr:colOff>
      <xdr:row>16</xdr:row>
      <xdr:rowOff>44450</xdr:rowOff>
    </xdr:to>
    <xdr:sp macro="" textlink="">
      <xdr:nvSpPr>
        <xdr:cNvPr id="8" name="Rectangle 7">
          <a:extLst>
            <a:ext uri="{FF2B5EF4-FFF2-40B4-BE49-F238E27FC236}">
              <a16:creationId xmlns:a16="http://schemas.microsoft.com/office/drawing/2014/main" id="{ED39020C-DCD9-4070-9DD0-1D3529DE3830}"/>
            </a:ext>
          </a:extLst>
        </xdr:cNvPr>
        <xdr:cNvSpPr/>
      </xdr:nvSpPr>
      <xdr:spPr>
        <a:xfrm>
          <a:off x="355600" y="2540000"/>
          <a:ext cx="1320800" cy="450850"/>
        </a:xfrm>
        <a:prstGeom prst="rect">
          <a:avLst/>
        </a:prstGeom>
        <a:ln>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scene3d>
            <a:camera prst="orthographicFront"/>
            <a:lightRig rig="threePt" dir="t"/>
          </a:scene3d>
          <a:sp3d extrusionH="57150">
            <a:bevelT h="25400" prst="softRound"/>
            <a:bevelB w="38100" h="38100" prst="angle"/>
          </a:sp3d>
        </a:bodyPr>
        <a:lstStyle/>
        <a:p>
          <a:pPr algn="l"/>
          <a:r>
            <a:rPr lang="en-IN" sz="1800" b="1"/>
            <a:t>  Sales</a:t>
          </a:r>
          <a:r>
            <a:rPr lang="en-IN" sz="1800" b="1" baseline="0"/>
            <a:t> Man</a:t>
          </a:r>
          <a:endParaRPr lang="en-IN" sz="1800" b="1"/>
        </a:p>
      </xdr:txBody>
    </xdr:sp>
    <xdr:clientData/>
  </xdr:twoCellAnchor>
  <xdr:twoCellAnchor>
    <xdr:from>
      <xdr:col>0</xdr:col>
      <xdr:colOff>368300</xdr:colOff>
      <xdr:row>17</xdr:row>
      <xdr:rowOff>152400</xdr:rowOff>
    </xdr:from>
    <xdr:to>
      <xdr:col>2</xdr:col>
      <xdr:colOff>469900</xdr:colOff>
      <xdr:row>20</xdr:row>
      <xdr:rowOff>50800</xdr:rowOff>
    </xdr:to>
    <xdr:sp macro="" textlink="">
      <xdr:nvSpPr>
        <xdr:cNvPr id="9" name="Rectangle 8">
          <a:extLst>
            <a:ext uri="{FF2B5EF4-FFF2-40B4-BE49-F238E27FC236}">
              <a16:creationId xmlns:a16="http://schemas.microsoft.com/office/drawing/2014/main" id="{E94867FB-984A-4C28-BC6F-48D2C64DD653}"/>
            </a:ext>
          </a:extLst>
        </xdr:cNvPr>
        <xdr:cNvSpPr/>
      </xdr:nvSpPr>
      <xdr:spPr>
        <a:xfrm>
          <a:off x="368300" y="3282950"/>
          <a:ext cx="1320800" cy="450850"/>
        </a:xfrm>
        <a:prstGeom prst="rect">
          <a:avLst/>
        </a:prstGeom>
        <a:ln>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effectLst>
                <a:outerShdw blurRad="50800" dist="50800" dir="5400000" algn="ctr" rotWithShape="0">
                  <a:schemeClr val="tx2">
                    <a:lumMod val="25000"/>
                    <a:lumOff val="75000"/>
                  </a:schemeClr>
                </a:outerShdw>
              </a:effectLst>
            </a:rPr>
            <a:t>    About</a:t>
          </a:r>
        </a:p>
      </xdr:txBody>
    </xdr:sp>
    <xdr:clientData/>
  </xdr:twoCellAnchor>
  <xdr:twoCellAnchor>
    <xdr:from>
      <xdr:col>3</xdr:col>
      <xdr:colOff>298450</xdr:colOff>
      <xdr:row>19</xdr:row>
      <xdr:rowOff>177800</xdr:rowOff>
    </xdr:from>
    <xdr:to>
      <xdr:col>7</xdr:col>
      <xdr:colOff>228600</xdr:colOff>
      <xdr:row>24</xdr:row>
      <xdr:rowOff>6350</xdr:rowOff>
    </xdr:to>
    <xdr:sp macro="" textlink="">
      <xdr:nvSpPr>
        <xdr:cNvPr id="10" name="Rectangle: Rounded Corners 9">
          <a:extLst>
            <a:ext uri="{FF2B5EF4-FFF2-40B4-BE49-F238E27FC236}">
              <a16:creationId xmlns:a16="http://schemas.microsoft.com/office/drawing/2014/main" id="{765E83BA-86D7-4473-84AB-5C2CA6F563CC}"/>
            </a:ext>
          </a:extLst>
        </xdr:cNvPr>
        <xdr:cNvSpPr/>
      </xdr:nvSpPr>
      <xdr:spPr>
        <a:xfrm>
          <a:off x="2127250" y="3676650"/>
          <a:ext cx="2368550" cy="749300"/>
        </a:xfrm>
        <a:prstGeom prst="roundRect">
          <a:avLst>
            <a:gd name="adj" fmla="val 3192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495300</xdr:colOff>
      <xdr:row>20</xdr:row>
      <xdr:rowOff>38100</xdr:rowOff>
    </xdr:from>
    <xdr:to>
      <xdr:col>11</xdr:col>
      <xdr:colOff>463550</xdr:colOff>
      <xdr:row>24</xdr:row>
      <xdr:rowOff>25400</xdr:rowOff>
    </xdr:to>
    <xdr:sp macro="" textlink="">
      <xdr:nvSpPr>
        <xdr:cNvPr id="11" name="Rectangle: Rounded Corners 10">
          <a:extLst>
            <a:ext uri="{FF2B5EF4-FFF2-40B4-BE49-F238E27FC236}">
              <a16:creationId xmlns:a16="http://schemas.microsoft.com/office/drawing/2014/main" id="{BB169BCE-6AD8-4482-AA15-14824E481EEF}"/>
            </a:ext>
          </a:extLst>
        </xdr:cNvPr>
        <xdr:cNvSpPr/>
      </xdr:nvSpPr>
      <xdr:spPr>
        <a:xfrm>
          <a:off x="4762500" y="3721100"/>
          <a:ext cx="240665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6350</xdr:colOff>
      <xdr:row>20</xdr:row>
      <xdr:rowOff>38100</xdr:rowOff>
    </xdr:from>
    <xdr:to>
      <xdr:col>11</xdr:col>
      <xdr:colOff>330200</xdr:colOff>
      <xdr:row>24</xdr:row>
      <xdr:rowOff>6350</xdr:rowOff>
    </xdr:to>
    <xdr:sp macro="" textlink="">
      <xdr:nvSpPr>
        <xdr:cNvPr id="12" name="Rectangle: Rounded Corners 11">
          <a:extLst>
            <a:ext uri="{FF2B5EF4-FFF2-40B4-BE49-F238E27FC236}">
              <a16:creationId xmlns:a16="http://schemas.microsoft.com/office/drawing/2014/main" id="{B68184DB-D08F-4645-97E7-D9B0B0263B6C}"/>
            </a:ext>
          </a:extLst>
        </xdr:cNvPr>
        <xdr:cNvSpPr/>
      </xdr:nvSpPr>
      <xdr:spPr>
        <a:xfrm>
          <a:off x="4883150" y="3721100"/>
          <a:ext cx="2152650" cy="7048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solidFill>
                <a:schemeClr val="accent1">
                  <a:lumMod val="60000"/>
                  <a:lumOff val="40000"/>
                </a:schemeClr>
              </a:solidFill>
            </a:rPr>
            <a:t>       </a:t>
          </a:r>
        </a:p>
        <a:p>
          <a:pPr algn="l"/>
          <a:endParaRPr lang="en-IN" sz="1600" b="1">
            <a:solidFill>
              <a:schemeClr val="accent1">
                <a:lumMod val="60000"/>
                <a:lumOff val="40000"/>
              </a:schemeClr>
            </a:solidFill>
          </a:endParaRPr>
        </a:p>
      </xdr:txBody>
    </xdr:sp>
    <xdr:clientData/>
  </xdr:twoCellAnchor>
  <xdr:twoCellAnchor>
    <xdr:from>
      <xdr:col>3</xdr:col>
      <xdr:colOff>234950</xdr:colOff>
      <xdr:row>25</xdr:row>
      <xdr:rowOff>6350</xdr:rowOff>
    </xdr:from>
    <xdr:to>
      <xdr:col>11</xdr:col>
      <xdr:colOff>412750</xdr:colOff>
      <xdr:row>35</xdr:row>
      <xdr:rowOff>19050</xdr:rowOff>
    </xdr:to>
    <xdr:sp macro="" textlink="">
      <xdr:nvSpPr>
        <xdr:cNvPr id="13" name="Rectangle 12">
          <a:extLst>
            <a:ext uri="{FF2B5EF4-FFF2-40B4-BE49-F238E27FC236}">
              <a16:creationId xmlns:a16="http://schemas.microsoft.com/office/drawing/2014/main" id="{0164747D-D94F-4FEF-B9DD-AD4E0064EE34}"/>
            </a:ext>
          </a:extLst>
        </xdr:cNvPr>
        <xdr:cNvSpPr/>
      </xdr:nvSpPr>
      <xdr:spPr>
        <a:xfrm>
          <a:off x="2063750" y="4610100"/>
          <a:ext cx="5054600" cy="1854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Sales Man</a:t>
          </a:r>
          <a:r>
            <a:rPr lang="en-IN" sz="1400" b="1" baseline="0"/>
            <a:t> Performances</a:t>
          </a:r>
          <a:endParaRPr lang="en-IN" sz="1400" b="1"/>
        </a:p>
      </xdr:txBody>
    </xdr:sp>
    <xdr:clientData/>
  </xdr:twoCellAnchor>
  <xdr:twoCellAnchor>
    <xdr:from>
      <xdr:col>11</xdr:col>
      <xdr:colOff>546100</xdr:colOff>
      <xdr:row>15</xdr:row>
      <xdr:rowOff>76200</xdr:rowOff>
    </xdr:from>
    <xdr:to>
      <xdr:col>20</xdr:col>
      <xdr:colOff>101600</xdr:colOff>
      <xdr:row>24</xdr:row>
      <xdr:rowOff>88900</xdr:rowOff>
    </xdr:to>
    <xdr:sp macro="" textlink="">
      <xdr:nvSpPr>
        <xdr:cNvPr id="14" name="Rectangle 13">
          <a:extLst>
            <a:ext uri="{FF2B5EF4-FFF2-40B4-BE49-F238E27FC236}">
              <a16:creationId xmlns:a16="http://schemas.microsoft.com/office/drawing/2014/main" id="{6D42A801-FD71-402C-A0F8-AB0EA1371D8E}"/>
            </a:ext>
          </a:extLst>
        </xdr:cNvPr>
        <xdr:cNvSpPr/>
      </xdr:nvSpPr>
      <xdr:spPr>
        <a:xfrm>
          <a:off x="7251700" y="2838450"/>
          <a:ext cx="5041900" cy="16700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accent2">
                  <a:lumMod val="75000"/>
                </a:schemeClr>
              </a:solidFill>
              <a:effectLst/>
              <a:latin typeface="+mn-lt"/>
              <a:ea typeface="+mn-ea"/>
              <a:cs typeface="+mn-cs"/>
            </a:rPr>
            <a:t>Top</a:t>
          </a:r>
          <a:r>
            <a:rPr lang="en-IN" sz="1400" b="1" baseline="0">
              <a:solidFill>
                <a:schemeClr val="accent2">
                  <a:lumMod val="75000"/>
                </a:schemeClr>
              </a:solidFill>
              <a:effectLst/>
              <a:latin typeface="+mn-lt"/>
              <a:ea typeface="+mn-ea"/>
              <a:cs typeface="+mn-cs"/>
            </a:rPr>
            <a:t> 3 Sales Man</a:t>
          </a:r>
          <a:endParaRPr lang="en-IN" sz="1400" b="1">
            <a:solidFill>
              <a:schemeClr val="accent2">
                <a:lumMod val="75000"/>
              </a:schemeClr>
            </a:solidFill>
            <a:effectLst/>
          </a:endParaRPr>
        </a:p>
        <a:p>
          <a:pPr algn="l"/>
          <a:endParaRPr lang="en-IN" sz="1100"/>
        </a:p>
      </xdr:txBody>
    </xdr:sp>
    <xdr:clientData/>
  </xdr:twoCellAnchor>
  <xdr:twoCellAnchor>
    <xdr:from>
      <xdr:col>11</xdr:col>
      <xdr:colOff>527050</xdr:colOff>
      <xdr:row>24</xdr:row>
      <xdr:rowOff>114300</xdr:rowOff>
    </xdr:from>
    <xdr:to>
      <xdr:col>20</xdr:col>
      <xdr:colOff>158750</xdr:colOff>
      <xdr:row>35</xdr:row>
      <xdr:rowOff>6350</xdr:rowOff>
    </xdr:to>
    <xdr:sp macro="" textlink="">
      <xdr:nvSpPr>
        <xdr:cNvPr id="15" name="Rectangle 14">
          <a:extLst>
            <a:ext uri="{FF2B5EF4-FFF2-40B4-BE49-F238E27FC236}">
              <a16:creationId xmlns:a16="http://schemas.microsoft.com/office/drawing/2014/main" id="{1EAC7924-E259-4540-A088-D15B81CC89EB}"/>
            </a:ext>
          </a:extLst>
        </xdr:cNvPr>
        <xdr:cNvSpPr/>
      </xdr:nvSpPr>
      <xdr:spPr>
        <a:xfrm>
          <a:off x="7232650" y="4533900"/>
          <a:ext cx="5118100" cy="19177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accent2">
                  <a:lumMod val="75000"/>
                </a:schemeClr>
              </a:solidFill>
            </a:rPr>
            <a:t>Bottom</a:t>
          </a:r>
          <a:r>
            <a:rPr lang="en-IN" sz="1400" b="1" baseline="0">
              <a:solidFill>
                <a:schemeClr val="accent2">
                  <a:lumMod val="75000"/>
                </a:schemeClr>
              </a:solidFill>
            </a:rPr>
            <a:t> 3 Sales Man</a:t>
          </a:r>
          <a:endParaRPr lang="en-IN" sz="1400" b="1">
            <a:solidFill>
              <a:schemeClr val="accent2">
                <a:lumMod val="75000"/>
              </a:schemeClr>
            </a:solidFill>
          </a:endParaRPr>
        </a:p>
      </xdr:txBody>
    </xdr:sp>
    <xdr:clientData/>
  </xdr:twoCellAnchor>
  <xdr:twoCellAnchor>
    <xdr:from>
      <xdr:col>3</xdr:col>
      <xdr:colOff>457200</xdr:colOff>
      <xdr:row>19</xdr:row>
      <xdr:rowOff>158750</xdr:rowOff>
    </xdr:from>
    <xdr:to>
      <xdr:col>7</xdr:col>
      <xdr:colOff>146050</xdr:colOff>
      <xdr:row>23</xdr:row>
      <xdr:rowOff>171450</xdr:rowOff>
    </xdr:to>
    <xdr:sp macro="" textlink="">
      <xdr:nvSpPr>
        <xdr:cNvPr id="16" name="Rectangle: Rounded Corners 15">
          <a:extLst>
            <a:ext uri="{FF2B5EF4-FFF2-40B4-BE49-F238E27FC236}">
              <a16:creationId xmlns:a16="http://schemas.microsoft.com/office/drawing/2014/main" id="{E2D773CB-CFF5-4A37-A95A-5B93275B7F0F}"/>
            </a:ext>
          </a:extLst>
        </xdr:cNvPr>
        <xdr:cNvSpPr/>
      </xdr:nvSpPr>
      <xdr:spPr>
        <a:xfrm>
          <a:off x="2286000" y="3657600"/>
          <a:ext cx="2127250" cy="749300"/>
        </a:xfrm>
        <a:prstGeom prst="roundRect">
          <a:avLst>
            <a:gd name="adj" fmla="val 3192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444500</xdr:colOff>
      <xdr:row>20</xdr:row>
      <xdr:rowOff>6350</xdr:rowOff>
    </xdr:from>
    <xdr:to>
      <xdr:col>6</xdr:col>
      <xdr:colOff>488950</xdr:colOff>
      <xdr:row>21</xdr:row>
      <xdr:rowOff>171450</xdr:rowOff>
    </xdr:to>
    <xdr:sp macro="" textlink="">
      <xdr:nvSpPr>
        <xdr:cNvPr id="17" name="Rectangle 16">
          <a:extLst>
            <a:ext uri="{FF2B5EF4-FFF2-40B4-BE49-F238E27FC236}">
              <a16:creationId xmlns:a16="http://schemas.microsoft.com/office/drawing/2014/main" id="{83B97E48-F2F5-48AD-99E4-AEB88A871E09}"/>
            </a:ext>
          </a:extLst>
        </xdr:cNvPr>
        <xdr:cNvSpPr/>
      </xdr:nvSpPr>
      <xdr:spPr>
        <a:xfrm>
          <a:off x="2273300" y="3689350"/>
          <a:ext cx="1873250" cy="3492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2">
                  <a:lumMod val="75000"/>
                  <a:lumOff val="25000"/>
                </a:schemeClr>
              </a:solidFill>
            </a:rPr>
            <a:t>Total amount</a:t>
          </a:r>
        </a:p>
        <a:p>
          <a:pPr algn="l"/>
          <a:endParaRPr lang="en-IN" sz="2000"/>
        </a:p>
      </xdr:txBody>
    </xdr:sp>
    <xdr:clientData/>
  </xdr:twoCellAnchor>
  <xdr:twoCellAnchor editAs="oneCell">
    <xdr:from>
      <xdr:col>3</xdr:col>
      <xdr:colOff>139700</xdr:colOff>
      <xdr:row>0</xdr:row>
      <xdr:rowOff>44450</xdr:rowOff>
    </xdr:from>
    <xdr:to>
      <xdr:col>13</xdr:col>
      <xdr:colOff>95250</xdr:colOff>
      <xdr:row>10</xdr:row>
      <xdr:rowOff>19050</xdr:rowOff>
    </xdr:to>
    <mc:AlternateContent xmlns:mc="http://schemas.openxmlformats.org/markup-compatibility/2006">
      <mc:Choice xmlns:tsle="http://schemas.microsoft.com/office/drawing/2012/timeslicer" Requires="tsle">
        <xdr:graphicFrame macro="">
          <xdr:nvGraphicFramePr>
            <xdr:cNvPr id="18" name="Date 3">
              <a:extLst>
                <a:ext uri="{FF2B5EF4-FFF2-40B4-BE49-F238E27FC236}">
                  <a16:creationId xmlns:a16="http://schemas.microsoft.com/office/drawing/2014/main" id="{8253FD9A-712B-4CF0-BE57-C50F355E1D1E}"/>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968500" y="44450"/>
              <a:ext cx="6051550" cy="1816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139700</xdr:colOff>
      <xdr:row>10</xdr:row>
      <xdr:rowOff>31750</xdr:rowOff>
    </xdr:from>
    <xdr:to>
      <xdr:col>19</xdr:col>
      <xdr:colOff>355600</xdr:colOff>
      <xdr:row>14</xdr:row>
      <xdr:rowOff>44450</xdr:rowOff>
    </xdr:to>
    <mc:AlternateContent xmlns:mc="http://schemas.openxmlformats.org/markup-compatibility/2006">
      <mc:Choice xmlns:a14="http://schemas.microsoft.com/office/drawing/2010/main" Requires="a14">
        <xdr:graphicFrame macro="">
          <xdr:nvGraphicFramePr>
            <xdr:cNvPr id="19" name="Products 4">
              <a:extLst>
                <a:ext uri="{FF2B5EF4-FFF2-40B4-BE49-F238E27FC236}">
                  <a16:creationId xmlns:a16="http://schemas.microsoft.com/office/drawing/2014/main" id="{BE055FA6-D8F9-484A-83D2-2A2DC971B113}"/>
                </a:ext>
              </a:extLst>
            </xdr:cNvPr>
            <xdr:cNvGraphicFramePr/>
          </xdr:nvGraphicFramePr>
          <xdr:xfrm>
            <a:off x="0" y="0"/>
            <a:ext cx="0" cy="0"/>
          </xdr:xfrm>
          <a:graphic>
            <a:graphicData uri="http://schemas.microsoft.com/office/drawing/2010/slicer">
              <sle:slicer xmlns:sle="http://schemas.microsoft.com/office/drawing/2010/slicer" name="Products 4"/>
            </a:graphicData>
          </a:graphic>
        </xdr:graphicFrame>
      </mc:Choice>
      <mc:Fallback>
        <xdr:sp macro="" textlink="">
          <xdr:nvSpPr>
            <xdr:cNvPr id="0" name=""/>
            <xdr:cNvSpPr>
              <a:spLocks noTextEdit="1"/>
            </xdr:cNvSpPr>
          </xdr:nvSpPr>
          <xdr:spPr>
            <a:xfrm>
              <a:off x="1968500" y="1873250"/>
              <a:ext cx="9969500" cy="74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114300</xdr:colOff>
      <xdr:row>0</xdr:row>
      <xdr:rowOff>133350</xdr:rowOff>
    </xdr:from>
    <xdr:to>
      <xdr:col>19</xdr:col>
      <xdr:colOff>330200</xdr:colOff>
      <xdr:row>9</xdr:row>
      <xdr:rowOff>171450</xdr:rowOff>
    </xdr:to>
    <mc:AlternateContent xmlns:mc="http://schemas.openxmlformats.org/markup-compatibility/2006">
      <mc:Choice xmlns:a14="http://schemas.microsoft.com/office/drawing/2010/main" Requires="a14">
        <xdr:graphicFrame macro="">
          <xdr:nvGraphicFramePr>
            <xdr:cNvPr id="20" name="Place 5">
              <a:extLst>
                <a:ext uri="{FF2B5EF4-FFF2-40B4-BE49-F238E27FC236}">
                  <a16:creationId xmlns:a16="http://schemas.microsoft.com/office/drawing/2014/main" id="{DBC9D5DF-F358-42E7-B6E0-2388062CE600}"/>
                </a:ext>
              </a:extLst>
            </xdr:cNvPr>
            <xdr:cNvGraphicFramePr/>
          </xdr:nvGraphicFramePr>
          <xdr:xfrm>
            <a:off x="0" y="0"/>
            <a:ext cx="0" cy="0"/>
          </xdr:xfrm>
          <a:graphic>
            <a:graphicData uri="http://schemas.microsoft.com/office/drawing/2010/slicer">
              <sle:slicer xmlns:sle="http://schemas.microsoft.com/office/drawing/2010/slicer" name="Place 5"/>
            </a:graphicData>
          </a:graphic>
        </xdr:graphicFrame>
      </mc:Choice>
      <mc:Fallback>
        <xdr:sp macro="" textlink="">
          <xdr:nvSpPr>
            <xdr:cNvPr id="0" name=""/>
            <xdr:cNvSpPr>
              <a:spLocks noTextEdit="1"/>
            </xdr:cNvSpPr>
          </xdr:nvSpPr>
          <xdr:spPr>
            <a:xfrm>
              <a:off x="8039100" y="133350"/>
              <a:ext cx="387350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95250</xdr:colOff>
      <xdr:row>20</xdr:row>
      <xdr:rowOff>50800</xdr:rowOff>
    </xdr:from>
    <xdr:to>
      <xdr:col>10</xdr:col>
      <xdr:colOff>50800</xdr:colOff>
      <xdr:row>22</xdr:row>
      <xdr:rowOff>146050</xdr:rowOff>
    </xdr:to>
    <xdr:sp macro="" textlink="">
      <xdr:nvSpPr>
        <xdr:cNvPr id="21" name="Rectangle 20">
          <a:extLst>
            <a:ext uri="{FF2B5EF4-FFF2-40B4-BE49-F238E27FC236}">
              <a16:creationId xmlns:a16="http://schemas.microsoft.com/office/drawing/2014/main" id="{C9305313-D201-4E31-810F-F81301128D28}"/>
            </a:ext>
          </a:extLst>
        </xdr:cNvPr>
        <xdr:cNvSpPr/>
      </xdr:nvSpPr>
      <xdr:spPr>
        <a:xfrm>
          <a:off x="4972050" y="3733800"/>
          <a:ext cx="1174750" cy="463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2">
                  <a:lumMod val="75000"/>
                  <a:lumOff val="25000"/>
                </a:schemeClr>
              </a:solidFill>
            </a:rPr>
            <a:t>Sales</a:t>
          </a:r>
        </a:p>
        <a:p>
          <a:pPr algn="l"/>
          <a:endParaRPr lang="en-IN" sz="2000" b="1">
            <a:solidFill>
              <a:schemeClr val="tx2">
                <a:lumMod val="75000"/>
                <a:lumOff val="25000"/>
              </a:schemeClr>
            </a:solidFill>
          </a:endParaRPr>
        </a:p>
        <a:p>
          <a:pPr algn="l"/>
          <a:endParaRPr lang="en-IN" sz="2000"/>
        </a:p>
      </xdr:txBody>
    </xdr:sp>
    <xdr:clientData/>
  </xdr:twoCellAnchor>
  <xdr:twoCellAnchor>
    <xdr:from>
      <xdr:col>8</xdr:col>
      <xdr:colOff>222250</xdr:colOff>
      <xdr:row>22</xdr:row>
      <xdr:rowOff>12700</xdr:rowOff>
    </xdr:from>
    <xdr:to>
      <xdr:col>10</xdr:col>
      <xdr:colOff>260350</xdr:colOff>
      <xdr:row>23</xdr:row>
      <xdr:rowOff>158750</xdr:rowOff>
    </xdr:to>
    <xdr:sp macro="" textlink="'Pivot Table'!B62">
      <xdr:nvSpPr>
        <xdr:cNvPr id="25" name="Rectangle 24">
          <a:extLst>
            <a:ext uri="{FF2B5EF4-FFF2-40B4-BE49-F238E27FC236}">
              <a16:creationId xmlns:a16="http://schemas.microsoft.com/office/drawing/2014/main" id="{67717EC3-F6FB-459B-862A-EFF6E0AF5C24}"/>
            </a:ext>
          </a:extLst>
        </xdr:cNvPr>
        <xdr:cNvSpPr/>
      </xdr:nvSpPr>
      <xdr:spPr>
        <a:xfrm>
          <a:off x="5099050" y="4064000"/>
          <a:ext cx="1257300" cy="3302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A58A243-FF1E-4F24-B6C1-ED74695AE985}" type="TxLink">
            <a:rPr lang="en-US" sz="1600" b="0" i="0" u="none" strike="noStrike">
              <a:solidFill>
                <a:schemeClr val="accent1">
                  <a:lumMod val="60000"/>
                  <a:lumOff val="40000"/>
                </a:schemeClr>
              </a:solidFill>
              <a:latin typeface="Calibri"/>
              <a:ea typeface="Calibri"/>
              <a:cs typeface="Calibri"/>
            </a:rPr>
            <a:t> </a:t>
          </a:fld>
          <a:endParaRPr lang="en-IN" sz="1600" b="1">
            <a:solidFill>
              <a:schemeClr val="accent1">
                <a:lumMod val="60000"/>
                <a:lumOff val="40000"/>
              </a:schemeClr>
            </a:solidFill>
          </a:endParaRPr>
        </a:p>
      </xdr:txBody>
    </xdr:sp>
    <xdr:clientData/>
  </xdr:twoCellAnchor>
  <xdr:twoCellAnchor>
    <xdr:from>
      <xdr:col>4</xdr:col>
      <xdr:colOff>63500</xdr:colOff>
      <xdr:row>21</xdr:row>
      <xdr:rowOff>114300</xdr:rowOff>
    </xdr:from>
    <xdr:to>
      <xdr:col>6</xdr:col>
      <xdr:colOff>50800</xdr:colOff>
      <xdr:row>23</xdr:row>
      <xdr:rowOff>139700</xdr:rowOff>
    </xdr:to>
    <xdr:sp macro="" textlink="'Pivot Table'!C58">
      <xdr:nvSpPr>
        <xdr:cNvPr id="26" name="Rectangle 25">
          <a:extLst>
            <a:ext uri="{FF2B5EF4-FFF2-40B4-BE49-F238E27FC236}">
              <a16:creationId xmlns:a16="http://schemas.microsoft.com/office/drawing/2014/main" id="{3F8FD1F2-1852-4FDF-AD41-EB444A60228F}"/>
            </a:ext>
          </a:extLst>
        </xdr:cNvPr>
        <xdr:cNvSpPr/>
      </xdr:nvSpPr>
      <xdr:spPr>
        <a:xfrm>
          <a:off x="2501900" y="3981450"/>
          <a:ext cx="1206500" cy="3937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F171FBB-5F93-4F0D-9CF5-6A7F1BF2C93B}" type="TxLink">
            <a:rPr lang="en-US" sz="1600" b="1" i="0" u="none" strike="noStrike">
              <a:solidFill>
                <a:srgbClr val="000000"/>
              </a:solidFill>
              <a:latin typeface="Calibri"/>
              <a:ea typeface="Calibri"/>
              <a:cs typeface="Calibri"/>
            </a:rPr>
            <a:t>11,87,31,893</a:t>
          </a:fld>
          <a:endParaRPr lang="en-IN" sz="1600" b="1">
            <a:solidFill>
              <a:schemeClr val="accent1">
                <a:lumMod val="60000"/>
                <a:lumOff val="40000"/>
              </a:schemeClr>
            </a:solidFill>
          </a:endParaRPr>
        </a:p>
      </xdr:txBody>
    </xdr:sp>
    <xdr:clientData/>
  </xdr:twoCellAnchor>
  <xdr:twoCellAnchor>
    <xdr:from>
      <xdr:col>8</xdr:col>
      <xdr:colOff>215900</xdr:colOff>
      <xdr:row>21</xdr:row>
      <xdr:rowOff>146050</xdr:rowOff>
    </xdr:from>
    <xdr:to>
      <xdr:col>10</xdr:col>
      <xdr:colOff>38100</xdr:colOff>
      <xdr:row>23</xdr:row>
      <xdr:rowOff>171450</xdr:rowOff>
    </xdr:to>
    <xdr:sp macro="" textlink="'Pivot Table'!C62">
      <xdr:nvSpPr>
        <xdr:cNvPr id="27" name="Rectangle 26">
          <a:extLst>
            <a:ext uri="{FF2B5EF4-FFF2-40B4-BE49-F238E27FC236}">
              <a16:creationId xmlns:a16="http://schemas.microsoft.com/office/drawing/2014/main" id="{328BB0EA-D5A9-4061-89D8-45180AD0929E}"/>
            </a:ext>
          </a:extLst>
        </xdr:cNvPr>
        <xdr:cNvSpPr/>
      </xdr:nvSpPr>
      <xdr:spPr>
        <a:xfrm>
          <a:off x="5092700" y="4013200"/>
          <a:ext cx="1041400" cy="3937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5B7538DD-003D-46DC-86B6-F35C7CB5590B}" type="TxLink">
            <a:rPr lang="en-US" sz="1600" b="1" i="0" u="none" strike="noStrike">
              <a:solidFill>
                <a:srgbClr val="000000"/>
              </a:solidFill>
              <a:latin typeface="Calibri"/>
              <a:ea typeface="Calibri"/>
              <a:cs typeface="Calibri"/>
            </a:rPr>
            <a:t>278</a:t>
          </a:fld>
          <a:endParaRPr lang="en-IN" sz="1600" b="1">
            <a:solidFill>
              <a:schemeClr val="accent1">
                <a:lumMod val="60000"/>
                <a:lumOff val="40000"/>
              </a:schemeClr>
            </a:solidFill>
          </a:endParaRPr>
        </a:p>
      </xdr:txBody>
    </xdr:sp>
    <xdr:clientData/>
  </xdr:twoCellAnchor>
  <xdr:twoCellAnchor>
    <xdr:from>
      <xdr:col>12</xdr:col>
      <xdr:colOff>330200</xdr:colOff>
      <xdr:row>17</xdr:row>
      <xdr:rowOff>0</xdr:rowOff>
    </xdr:from>
    <xdr:to>
      <xdr:col>19</xdr:col>
      <xdr:colOff>82550</xdr:colOff>
      <xdr:row>24</xdr:row>
      <xdr:rowOff>31750</xdr:rowOff>
    </xdr:to>
    <xdr:graphicFrame macro="">
      <xdr:nvGraphicFramePr>
        <xdr:cNvPr id="28" name="Chart 27">
          <a:extLst>
            <a:ext uri="{FF2B5EF4-FFF2-40B4-BE49-F238E27FC236}">
              <a16:creationId xmlns:a16="http://schemas.microsoft.com/office/drawing/2014/main" id="{5EA22D16-DCBB-4020-8C20-779998262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336550</xdr:colOff>
      <xdr:row>26</xdr:row>
      <xdr:rowOff>57150</xdr:rowOff>
    </xdr:from>
    <xdr:to>
      <xdr:col>19</xdr:col>
      <xdr:colOff>222250</xdr:colOff>
      <xdr:row>34</xdr:row>
      <xdr:rowOff>82550</xdr:rowOff>
    </xdr:to>
    <xdr:graphicFrame macro="">
      <xdr:nvGraphicFramePr>
        <xdr:cNvPr id="29" name="Chart 28">
          <a:extLst>
            <a:ext uri="{FF2B5EF4-FFF2-40B4-BE49-F238E27FC236}">
              <a16:creationId xmlns:a16="http://schemas.microsoft.com/office/drawing/2014/main" id="{4B4916DB-2BB6-4C03-8F74-CAEE7F72C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393700</xdr:colOff>
      <xdr:row>26</xdr:row>
      <xdr:rowOff>82550</xdr:rowOff>
    </xdr:from>
    <xdr:to>
      <xdr:col>10</xdr:col>
      <xdr:colOff>539750</xdr:colOff>
      <xdr:row>34</xdr:row>
      <xdr:rowOff>158750</xdr:rowOff>
    </xdr:to>
    <xdr:graphicFrame macro="">
      <xdr:nvGraphicFramePr>
        <xdr:cNvPr id="30" name="Chart 29">
          <a:extLst>
            <a:ext uri="{FF2B5EF4-FFF2-40B4-BE49-F238E27FC236}">
              <a16:creationId xmlns:a16="http://schemas.microsoft.com/office/drawing/2014/main" id="{020F9154-EB58-4F4B-913C-C57BCA34C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6350</xdr:rowOff>
    </xdr:from>
    <xdr:to>
      <xdr:col>21</xdr:col>
      <xdr:colOff>476250</xdr:colOff>
      <xdr:row>36</xdr:row>
      <xdr:rowOff>63500</xdr:rowOff>
    </xdr:to>
    <xdr:sp macro="" textlink="">
      <xdr:nvSpPr>
        <xdr:cNvPr id="2" name="Rectangle: Rounded Corners 1">
          <a:extLst>
            <a:ext uri="{FF2B5EF4-FFF2-40B4-BE49-F238E27FC236}">
              <a16:creationId xmlns:a16="http://schemas.microsoft.com/office/drawing/2014/main" id="{731CB6C1-CBCA-489B-BD81-709984DC2C24}"/>
            </a:ext>
          </a:extLst>
        </xdr:cNvPr>
        <xdr:cNvSpPr/>
      </xdr:nvSpPr>
      <xdr:spPr>
        <a:xfrm>
          <a:off x="0" y="190500"/>
          <a:ext cx="13277850" cy="650240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101600</xdr:colOff>
      <xdr:row>0</xdr:row>
      <xdr:rowOff>44450</xdr:rowOff>
    </xdr:from>
    <xdr:to>
      <xdr:col>22</xdr:col>
      <xdr:colOff>171450</xdr:colOff>
      <xdr:row>35</xdr:row>
      <xdr:rowOff>101600</xdr:rowOff>
    </xdr:to>
    <xdr:sp macro="" textlink="">
      <xdr:nvSpPr>
        <xdr:cNvPr id="3" name="Rectangle: Rounded Corners 2">
          <a:extLst>
            <a:ext uri="{FF2B5EF4-FFF2-40B4-BE49-F238E27FC236}">
              <a16:creationId xmlns:a16="http://schemas.microsoft.com/office/drawing/2014/main" id="{409DEA1C-D9A8-4EE9-AEEE-509D1D9E7A7A}"/>
            </a:ext>
          </a:extLst>
        </xdr:cNvPr>
        <xdr:cNvSpPr/>
      </xdr:nvSpPr>
      <xdr:spPr>
        <a:xfrm>
          <a:off x="1930400" y="44450"/>
          <a:ext cx="11652250" cy="6502400"/>
        </a:xfrm>
        <a:prstGeom prst="roundRect">
          <a:avLst>
            <a:gd name="adj" fmla="val 2441"/>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400050</xdr:colOff>
      <xdr:row>6</xdr:row>
      <xdr:rowOff>114300</xdr:rowOff>
    </xdr:from>
    <xdr:to>
      <xdr:col>2</xdr:col>
      <xdr:colOff>501650</xdr:colOff>
      <xdr:row>9</xdr:row>
      <xdr:rowOff>12700</xdr:rowOff>
    </xdr:to>
    <xdr:sp macro="" textlink="">
      <xdr:nvSpPr>
        <xdr:cNvPr id="4" name="Rectangle 3">
          <a:extLst>
            <a:ext uri="{FF2B5EF4-FFF2-40B4-BE49-F238E27FC236}">
              <a16:creationId xmlns:a16="http://schemas.microsoft.com/office/drawing/2014/main" id="{8C707A6D-21A9-45BD-880B-379E3AE9938C}"/>
            </a:ext>
          </a:extLst>
        </xdr:cNvPr>
        <xdr:cNvSpPr/>
      </xdr:nvSpPr>
      <xdr:spPr>
        <a:xfrm>
          <a:off x="400050" y="1219200"/>
          <a:ext cx="1320800" cy="450850"/>
        </a:xfrm>
        <a:prstGeom prst="rect">
          <a:avLst/>
        </a:prstGeom>
        <a:ln>
          <a:solidFill>
            <a:schemeClr val="accent1">
              <a:shade val="1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b="1"/>
            <a:t>Dash </a:t>
          </a:r>
          <a:r>
            <a:rPr lang="en-IN" sz="1800" b="1" i="1"/>
            <a:t>Board</a:t>
          </a:r>
        </a:p>
      </xdr:txBody>
    </xdr:sp>
    <xdr:clientData/>
  </xdr:twoCellAnchor>
  <xdr:twoCellAnchor>
    <xdr:from>
      <xdr:col>4</xdr:col>
      <xdr:colOff>520700</xdr:colOff>
      <xdr:row>16</xdr:row>
      <xdr:rowOff>0</xdr:rowOff>
    </xdr:from>
    <xdr:to>
      <xdr:col>6</xdr:col>
      <xdr:colOff>476250</xdr:colOff>
      <xdr:row>18</xdr:row>
      <xdr:rowOff>95250</xdr:rowOff>
    </xdr:to>
    <xdr:sp macro="" textlink="">
      <xdr:nvSpPr>
        <xdr:cNvPr id="6" name="Rectangle 5">
          <a:extLst>
            <a:ext uri="{FF2B5EF4-FFF2-40B4-BE49-F238E27FC236}">
              <a16:creationId xmlns:a16="http://schemas.microsoft.com/office/drawing/2014/main" id="{BCC51C4E-409E-4381-B386-5C63A8EC7D5E}"/>
            </a:ext>
          </a:extLst>
        </xdr:cNvPr>
        <xdr:cNvSpPr/>
      </xdr:nvSpPr>
      <xdr:spPr>
        <a:xfrm>
          <a:off x="2959100" y="2946400"/>
          <a:ext cx="1174750" cy="463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1">
            <a:solidFill>
              <a:schemeClr val="tx2">
                <a:lumMod val="75000"/>
                <a:lumOff val="25000"/>
              </a:schemeClr>
            </a:solidFill>
          </a:endParaRPr>
        </a:p>
        <a:p>
          <a:pPr algn="l"/>
          <a:endParaRPr lang="en-IN" sz="2000"/>
        </a:p>
      </xdr:txBody>
    </xdr:sp>
    <xdr:clientData/>
  </xdr:twoCellAnchor>
  <xdr:twoCellAnchor>
    <xdr:from>
      <xdr:col>0</xdr:col>
      <xdr:colOff>374650</xdr:colOff>
      <xdr:row>10</xdr:row>
      <xdr:rowOff>12700</xdr:rowOff>
    </xdr:from>
    <xdr:to>
      <xdr:col>2</xdr:col>
      <xdr:colOff>476250</xdr:colOff>
      <xdr:row>12</xdr:row>
      <xdr:rowOff>95250</xdr:rowOff>
    </xdr:to>
    <xdr:sp macro="" textlink="">
      <xdr:nvSpPr>
        <xdr:cNvPr id="7" name="Rectangle 6">
          <a:hlinkClick xmlns:r="http://schemas.openxmlformats.org/officeDocument/2006/relationships" r:id="rId1"/>
          <a:extLst>
            <a:ext uri="{FF2B5EF4-FFF2-40B4-BE49-F238E27FC236}">
              <a16:creationId xmlns:a16="http://schemas.microsoft.com/office/drawing/2014/main" id="{64DB8BDF-ACFC-42CD-9185-D50EC56EA074}"/>
            </a:ext>
          </a:extLst>
        </xdr:cNvPr>
        <xdr:cNvSpPr/>
      </xdr:nvSpPr>
      <xdr:spPr>
        <a:xfrm>
          <a:off x="374650" y="1854200"/>
          <a:ext cx="1320800" cy="450850"/>
        </a:xfrm>
        <a:prstGeom prst="rect">
          <a:avLst/>
        </a:prstGeom>
        <a:ln>
          <a:gradFill>
            <a:gsLst>
              <a:gs pos="64972">
                <a:srgbClr val="83CAEB">
                  <a:alpha val="97000"/>
                </a:srgb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b="1" i="0"/>
            <a:t>Products</a:t>
          </a:r>
        </a:p>
      </xdr:txBody>
    </xdr:sp>
    <xdr:clientData/>
  </xdr:twoCellAnchor>
  <xdr:twoCellAnchor>
    <xdr:from>
      <xdr:col>0</xdr:col>
      <xdr:colOff>355600</xdr:colOff>
      <xdr:row>13</xdr:row>
      <xdr:rowOff>146050</xdr:rowOff>
    </xdr:from>
    <xdr:to>
      <xdr:col>2</xdr:col>
      <xdr:colOff>457200</xdr:colOff>
      <xdr:row>16</xdr:row>
      <xdr:rowOff>44450</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AF514448-DF64-4B72-A19C-DD0992541D95}"/>
            </a:ext>
          </a:extLst>
        </xdr:cNvPr>
        <xdr:cNvSpPr/>
      </xdr:nvSpPr>
      <xdr:spPr>
        <a:xfrm>
          <a:off x="355600" y="2540000"/>
          <a:ext cx="1320800" cy="450850"/>
        </a:xfrm>
        <a:prstGeom prst="rect">
          <a:avLst/>
        </a:prstGeom>
        <a:ln>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  Sales</a:t>
          </a:r>
          <a:r>
            <a:rPr lang="en-IN" sz="1800" b="1" baseline="0"/>
            <a:t> Man</a:t>
          </a:r>
          <a:endParaRPr lang="en-IN" sz="1800" b="1"/>
        </a:p>
      </xdr:txBody>
    </xdr:sp>
    <xdr:clientData/>
  </xdr:twoCellAnchor>
  <xdr:twoCellAnchor>
    <xdr:from>
      <xdr:col>0</xdr:col>
      <xdr:colOff>368300</xdr:colOff>
      <xdr:row>17</xdr:row>
      <xdr:rowOff>152400</xdr:rowOff>
    </xdr:from>
    <xdr:to>
      <xdr:col>2</xdr:col>
      <xdr:colOff>469900</xdr:colOff>
      <xdr:row>20</xdr:row>
      <xdr:rowOff>50800</xdr:rowOff>
    </xdr:to>
    <xdr:sp macro="" textlink="">
      <xdr:nvSpPr>
        <xdr:cNvPr id="9" name="Rectangle 8">
          <a:extLst>
            <a:ext uri="{FF2B5EF4-FFF2-40B4-BE49-F238E27FC236}">
              <a16:creationId xmlns:a16="http://schemas.microsoft.com/office/drawing/2014/main" id="{0E612F71-F837-49FF-BE6C-BE7774DF85CA}"/>
            </a:ext>
          </a:extLst>
        </xdr:cNvPr>
        <xdr:cNvSpPr/>
      </xdr:nvSpPr>
      <xdr:spPr>
        <a:xfrm>
          <a:off x="368300" y="3282950"/>
          <a:ext cx="1320800" cy="450850"/>
        </a:xfrm>
        <a:prstGeom prst="rect">
          <a:avLst/>
        </a:prstGeom>
        <a:ln>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    About</a:t>
          </a:r>
        </a:p>
      </xdr:txBody>
    </xdr:sp>
    <xdr:clientData/>
  </xdr:twoCellAnchor>
  <xdr:twoCellAnchor>
    <xdr:from>
      <xdr:col>3</xdr:col>
      <xdr:colOff>444500</xdr:colOff>
      <xdr:row>20</xdr:row>
      <xdr:rowOff>6350</xdr:rowOff>
    </xdr:from>
    <xdr:to>
      <xdr:col>6</xdr:col>
      <xdr:colOff>488950</xdr:colOff>
      <xdr:row>21</xdr:row>
      <xdr:rowOff>171450</xdr:rowOff>
    </xdr:to>
    <xdr:sp macro="" textlink="">
      <xdr:nvSpPr>
        <xdr:cNvPr id="17" name="Rectangle 16">
          <a:extLst>
            <a:ext uri="{FF2B5EF4-FFF2-40B4-BE49-F238E27FC236}">
              <a16:creationId xmlns:a16="http://schemas.microsoft.com/office/drawing/2014/main" id="{80F5A663-658F-486A-8E7D-6BA5492F08FE}"/>
            </a:ext>
          </a:extLst>
        </xdr:cNvPr>
        <xdr:cNvSpPr/>
      </xdr:nvSpPr>
      <xdr:spPr>
        <a:xfrm>
          <a:off x="2273300" y="3689350"/>
          <a:ext cx="1873250" cy="3492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editAs="oneCell">
    <xdr:from>
      <xdr:col>3</xdr:col>
      <xdr:colOff>139700</xdr:colOff>
      <xdr:row>0</xdr:row>
      <xdr:rowOff>44450</xdr:rowOff>
    </xdr:from>
    <xdr:to>
      <xdr:col>13</xdr:col>
      <xdr:colOff>95250</xdr:colOff>
      <xdr:row>10</xdr:row>
      <xdr:rowOff>19050</xdr:rowOff>
    </xdr:to>
    <mc:AlternateContent xmlns:mc="http://schemas.openxmlformats.org/markup-compatibility/2006">
      <mc:Choice xmlns:tsle="http://schemas.microsoft.com/office/drawing/2012/timeslicer" Requires="tsle">
        <xdr:graphicFrame macro="">
          <xdr:nvGraphicFramePr>
            <xdr:cNvPr id="18" name="Date 4">
              <a:extLst>
                <a:ext uri="{FF2B5EF4-FFF2-40B4-BE49-F238E27FC236}">
                  <a16:creationId xmlns:a16="http://schemas.microsoft.com/office/drawing/2014/main" id="{EA9E9C4F-4100-4A7B-92F4-92D39CEF012B}"/>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1968500" y="44450"/>
              <a:ext cx="6051550" cy="1816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139700</xdr:colOff>
      <xdr:row>10</xdr:row>
      <xdr:rowOff>31750</xdr:rowOff>
    </xdr:from>
    <xdr:to>
      <xdr:col>19</xdr:col>
      <xdr:colOff>355600</xdr:colOff>
      <xdr:row>14</xdr:row>
      <xdr:rowOff>44450</xdr:rowOff>
    </xdr:to>
    <mc:AlternateContent xmlns:mc="http://schemas.openxmlformats.org/markup-compatibility/2006">
      <mc:Choice xmlns:a14="http://schemas.microsoft.com/office/drawing/2010/main" Requires="a14">
        <xdr:graphicFrame macro="">
          <xdr:nvGraphicFramePr>
            <xdr:cNvPr id="19" name="Products 5">
              <a:extLst>
                <a:ext uri="{FF2B5EF4-FFF2-40B4-BE49-F238E27FC236}">
                  <a16:creationId xmlns:a16="http://schemas.microsoft.com/office/drawing/2014/main" id="{E95D0A59-201C-41F0-A65F-44B2AD919D81}"/>
                </a:ext>
              </a:extLst>
            </xdr:cNvPr>
            <xdr:cNvGraphicFramePr/>
          </xdr:nvGraphicFramePr>
          <xdr:xfrm>
            <a:off x="0" y="0"/>
            <a:ext cx="0" cy="0"/>
          </xdr:xfrm>
          <a:graphic>
            <a:graphicData uri="http://schemas.microsoft.com/office/drawing/2010/slicer">
              <sle:slicer xmlns:sle="http://schemas.microsoft.com/office/drawing/2010/slicer" name="Products 5"/>
            </a:graphicData>
          </a:graphic>
        </xdr:graphicFrame>
      </mc:Choice>
      <mc:Fallback>
        <xdr:sp macro="" textlink="">
          <xdr:nvSpPr>
            <xdr:cNvPr id="0" name=""/>
            <xdr:cNvSpPr>
              <a:spLocks noTextEdit="1"/>
            </xdr:cNvSpPr>
          </xdr:nvSpPr>
          <xdr:spPr>
            <a:xfrm>
              <a:off x="1968500" y="1873250"/>
              <a:ext cx="9969500" cy="74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114300</xdr:colOff>
      <xdr:row>0</xdr:row>
      <xdr:rowOff>133350</xdr:rowOff>
    </xdr:from>
    <xdr:to>
      <xdr:col>19</xdr:col>
      <xdr:colOff>330200</xdr:colOff>
      <xdr:row>9</xdr:row>
      <xdr:rowOff>171450</xdr:rowOff>
    </xdr:to>
    <mc:AlternateContent xmlns:mc="http://schemas.openxmlformats.org/markup-compatibility/2006">
      <mc:Choice xmlns:a14="http://schemas.microsoft.com/office/drawing/2010/main" Requires="a14">
        <xdr:graphicFrame macro="">
          <xdr:nvGraphicFramePr>
            <xdr:cNvPr id="20" name="Place 6">
              <a:extLst>
                <a:ext uri="{FF2B5EF4-FFF2-40B4-BE49-F238E27FC236}">
                  <a16:creationId xmlns:a16="http://schemas.microsoft.com/office/drawing/2014/main" id="{127E7EF8-076B-42C2-ADD6-1F3EEAFC115E}"/>
                </a:ext>
              </a:extLst>
            </xdr:cNvPr>
            <xdr:cNvGraphicFramePr/>
          </xdr:nvGraphicFramePr>
          <xdr:xfrm>
            <a:off x="0" y="0"/>
            <a:ext cx="0" cy="0"/>
          </xdr:xfrm>
          <a:graphic>
            <a:graphicData uri="http://schemas.microsoft.com/office/drawing/2010/slicer">
              <sle:slicer xmlns:sle="http://schemas.microsoft.com/office/drawing/2010/slicer" name="Place 6"/>
            </a:graphicData>
          </a:graphic>
        </xdr:graphicFrame>
      </mc:Choice>
      <mc:Fallback>
        <xdr:sp macro="" textlink="">
          <xdr:nvSpPr>
            <xdr:cNvPr id="0" name=""/>
            <xdr:cNvSpPr>
              <a:spLocks noTextEdit="1"/>
            </xdr:cNvSpPr>
          </xdr:nvSpPr>
          <xdr:spPr>
            <a:xfrm>
              <a:off x="8039100" y="133350"/>
              <a:ext cx="387350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95250</xdr:colOff>
      <xdr:row>20</xdr:row>
      <xdr:rowOff>50800</xdr:rowOff>
    </xdr:from>
    <xdr:to>
      <xdr:col>10</xdr:col>
      <xdr:colOff>50800</xdr:colOff>
      <xdr:row>22</xdr:row>
      <xdr:rowOff>146050</xdr:rowOff>
    </xdr:to>
    <xdr:sp macro="" textlink="">
      <xdr:nvSpPr>
        <xdr:cNvPr id="21" name="Rectangle 20">
          <a:extLst>
            <a:ext uri="{FF2B5EF4-FFF2-40B4-BE49-F238E27FC236}">
              <a16:creationId xmlns:a16="http://schemas.microsoft.com/office/drawing/2014/main" id="{4D66CE7D-A511-4D86-BC7C-7EF8E21684FF}"/>
            </a:ext>
          </a:extLst>
        </xdr:cNvPr>
        <xdr:cNvSpPr/>
      </xdr:nvSpPr>
      <xdr:spPr>
        <a:xfrm>
          <a:off x="4972050" y="3733800"/>
          <a:ext cx="1174750" cy="463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8</xdr:col>
      <xdr:colOff>222250</xdr:colOff>
      <xdr:row>22</xdr:row>
      <xdr:rowOff>12700</xdr:rowOff>
    </xdr:from>
    <xdr:to>
      <xdr:col>10</xdr:col>
      <xdr:colOff>260350</xdr:colOff>
      <xdr:row>23</xdr:row>
      <xdr:rowOff>158750</xdr:rowOff>
    </xdr:to>
    <xdr:sp macro="" textlink="'Pivot Table'!B62">
      <xdr:nvSpPr>
        <xdr:cNvPr id="25" name="Rectangle 24">
          <a:extLst>
            <a:ext uri="{FF2B5EF4-FFF2-40B4-BE49-F238E27FC236}">
              <a16:creationId xmlns:a16="http://schemas.microsoft.com/office/drawing/2014/main" id="{CB4460B5-6852-48A9-8C70-9233D37B506B}"/>
            </a:ext>
          </a:extLst>
        </xdr:cNvPr>
        <xdr:cNvSpPr/>
      </xdr:nvSpPr>
      <xdr:spPr>
        <a:xfrm>
          <a:off x="5099050" y="4064000"/>
          <a:ext cx="1257300" cy="3302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A58A243-FF1E-4F24-B6C1-ED74695AE985}" type="TxLink">
            <a:rPr lang="en-US" sz="1600" b="0" i="0" u="none" strike="noStrike">
              <a:solidFill>
                <a:schemeClr val="accent1">
                  <a:lumMod val="60000"/>
                  <a:lumOff val="40000"/>
                </a:schemeClr>
              </a:solidFill>
              <a:latin typeface="Calibri"/>
              <a:ea typeface="Calibri"/>
              <a:cs typeface="Calibri"/>
            </a:rPr>
            <a:t> </a:t>
          </a:fld>
          <a:endParaRPr lang="en-IN" sz="1600" b="1">
            <a:solidFill>
              <a:schemeClr val="accent1">
                <a:lumMod val="60000"/>
                <a:lumOff val="40000"/>
              </a:schemeClr>
            </a:solidFill>
          </a:endParaRPr>
        </a:p>
      </xdr:txBody>
    </xdr:sp>
    <xdr:clientData/>
  </xdr:twoCellAnchor>
  <xdr:twoCellAnchor editAs="oneCell">
    <xdr:from>
      <xdr:col>3</xdr:col>
      <xdr:colOff>190500</xdr:colOff>
      <xdr:row>13</xdr:row>
      <xdr:rowOff>171450</xdr:rowOff>
    </xdr:from>
    <xdr:to>
      <xdr:col>4</xdr:col>
      <xdr:colOff>495300</xdr:colOff>
      <xdr:row>18</xdr:row>
      <xdr:rowOff>165100</xdr:rowOff>
    </xdr:to>
    <xdr:pic>
      <xdr:nvPicPr>
        <xdr:cNvPr id="30" name="Graphic 29" descr="User with solid fill">
          <a:extLst>
            <a:ext uri="{FF2B5EF4-FFF2-40B4-BE49-F238E27FC236}">
              <a16:creationId xmlns:a16="http://schemas.microsoft.com/office/drawing/2014/main" id="{C962B490-46E2-3D3C-6FD8-39E9292EC53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19300" y="2565400"/>
          <a:ext cx="914400" cy="914400"/>
        </a:xfrm>
        <a:prstGeom prst="rect">
          <a:avLst/>
        </a:prstGeom>
      </xdr:spPr>
    </xdr:pic>
    <xdr:clientData/>
  </xdr:twoCellAnchor>
  <xdr:twoCellAnchor>
    <xdr:from>
      <xdr:col>4</xdr:col>
      <xdr:colOff>571500</xdr:colOff>
      <xdr:row>15</xdr:row>
      <xdr:rowOff>158750</xdr:rowOff>
    </xdr:from>
    <xdr:to>
      <xdr:col>6</xdr:col>
      <xdr:colOff>444500</xdr:colOff>
      <xdr:row>17</xdr:row>
      <xdr:rowOff>171450</xdr:rowOff>
    </xdr:to>
    <xdr:sp macro="" textlink="">
      <xdr:nvSpPr>
        <xdr:cNvPr id="31" name="Rectangle: Rounded Corners 30">
          <a:extLst>
            <a:ext uri="{FF2B5EF4-FFF2-40B4-BE49-F238E27FC236}">
              <a16:creationId xmlns:a16="http://schemas.microsoft.com/office/drawing/2014/main" id="{0A0D064A-4359-5BCB-3D3F-A68DA9A99AAF}"/>
            </a:ext>
          </a:extLst>
        </xdr:cNvPr>
        <xdr:cNvSpPr/>
      </xdr:nvSpPr>
      <xdr:spPr>
        <a:xfrm>
          <a:off x="3009900" y="2921000"/>
          <a:ext cx="1092200"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2">
                  <a:lumMod val="50000"/>
                  <a:lumOff val="50000"/>
                </a:schemeClr>
              </a:solidFill>
            </a:rPr>
            <a:t>About</a:t>
          </a:r>
        </a:p>
      </xdr:txBody>
    </xdr:sp>
    <xdr:clientData/>
  </xdr:twoCellAnchor>
  <xdr:twoCellAnchor>
    <xdr:from>
      <xdr:col>3</xdr:col>
      <xdr:colOff>165100</xdr:colOff>
      <xdr:row>18</xdr:row>
      <xdr:rowOff>133350</xdr:rowOff>
    </xdr:from>
    <xdr:to>
      <xdr:col>22</xdr:col>
      <xdr:colOff>95250</xdr:colOff>
      <xdr:row>35</xdr:row>
      <xdr:rowOff>114300</xdr:rowOff>
    </xdr:to>
    <xdr:sp macro="" textlink="">
      <xdr:nvSpPr>
        <xdr:cNvPr id="32" name="Rectangle 31">
          <a:extLst>
            <a:ext uri="{FF2B5EF4-FFF2-40B4-BE49-F238E27FC236}">
              <a16:creationId xmlns:a16="http://schemas.microsoft.com/office/drawing/2014/main" id="{4E3E40A0-8064-F85E-A8C0-EE11DF7575AF}"/>
            </a:ext>
          </a:extLst>
        </xdr:cNvPr>
        <xdr:cNvSpPr/>
      </xdr:nvSpPr>
      <xdr:spPr>
        <a:xfrm>
          <a:off x="1993900" y="3448050"/>
          <a:ext cx="11512550" cy="3111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0"/>
            <a:t>Sales Dashboard built using Excel Pivot Tables, Pivot Charts, Slicers, and Timelines. It provides insights into sales performance by product, location, salesperson, and time period through interactive visualizations and KPIs.</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200" b="1"/>
        </a:p>
        <a:p>
          <a:pPr marL="0" marR="0" lvl="0" indent="0" algn="l" defTabSz="914400" eaLnBrk="1" fontAlgn="auto" latinLnBrk="0" hangingPunct="1">
            <a:lnSpc>
              <a:spcPct val="100000"/>
            </a:lnSpc>
            <a:spcBef>
              <a:spcPts val="0"/>
            </a:spcBef>
            <a:spcAft>
              <a:spcPts val="0"/>
            </a:spcAft>
            <a:buClrTx/>
            <a:buSzTx/>
            <a:buFontTx/>
            <a:buNone/>
            <a:tabLst/>
            <a:defRPr/>
          </a:pPr>
          <a:r>
            <a:rPr lang="en-IN" sz="1400" b="1"/>
            <a:t>Key Insights:</a:t>
          </a:r>
          <a:br>
            <a:rPr lang="en-IN" sz="1200"/>
          </a:br>
          <a:r>
            <a:rPr lang="en-IN" sz="1200"/>
            <a:t>• Track Total Revenue and Units Sold</a:t>
          </a:r>
          <a:br>
            <a:rPr lang="en-IN" sz="1200"/>
          </a:br>
          <a:r>
            <a:rPr lang="en-IN" sz="1200"/>
            <a:t>• Identify Top 3 Products by Sales</a:t>
          </a:r>
          <a:br>
            <a:rPr lang="en-IN" sz="1200"/>
          </a:br>
          <a:r>
            <a:rPr lang="en-IN" sz="1200"/>
            <a:t>• Identify Top Performing Salespersons</a:t>
          </a:r>
          <a:br>
            <a:rPr lang="en-IN" sz="1200"/>
          </a:br>
          <a:r>
            <a:rPr lang="en-IN" sz="1200"/>
            <a:t>• Analyze Sales by Location</a:t>
          </a:r>
          <a:br>
            <a:rPr lang="en-IN" sz="1200"/>
          </a:br>
          <a:r>
            <a:rPr lang="en-IN" sz="1200"/>
            <a:t>• Monitor Monthly Sales Trends</a:t>
          </a:r>
          <a:br>
            <a:rPr lang="en-IN" sz="1200"/>
          </a:br>
          <a:r>
            <a:rPr lang="en-IN" sz="1200"/>
            <a:t>• Filter data dynamically using Slicers and Timelines</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200" b="1"/>
        </a:p>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38100</xdr:rowOff>
    </xdr:from>
    <xdr:to>
      <xdr:col>21</xdr:col>
      <xdr:colOff>476250</xdr:colOff>
      <xdr:row>35</xdr:row>
      <xdr:rowOff>95250</xdr:rowOff>
    </xdr:to>
    <xdr:sp macro="" textlink="">
      <xdr:nvSpPr>
        <xdr:cNvPr id="2" name="Rectangle: Rounded Corners 1">
          <a:extLst>
            <a:ext uri="{FF2B5EF4-FFF2-40B4-BE49-F238E27FC236}">
              <a16:creationId xmlns:a16="http://schemas.microsoft.com/office/drawing/2014/main" id="{DAA59CEE-9EA7-4B2B-8D3A-C48BDB3F986F}"/>
            </a:ext>
          </a:extLst>
        </xdr:cNvPr>
        <xdr:cNvSpPr/>
      </xdr:nvSpPr>
      <xdr:spPr>
        <a:xfrm>
          <a:off x="0" y="38100"/>
          <a:ext cx="13277850" cy="650240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120650</xdr:colOff>
      <xdr:row>0</xdr:row>
      <xdr:rowOff>44450</xdr:rowOff>
    </xdr:from>
    <xdr:to>
      <xdr:col>22</xdr:col>
      <xdr:colOff>190500</xdr:colOff>
      <xdr:row>35</xdr:row>
      <xdr:rowOff>101600</xdr:rowOff>
    </xdr:to>
    <xdr:sp macro="" textlink="">
      <xdr:nvSpPr>
        <xdr:cNvPr id="3" name="Rectangle: Rounded Corners 2">
          <a:extLst>
            <a:ext uri="{FF2B5EF4-FFF2-40B4-BE49-F238E27FC236}">
              <a16:creationId xmlns:a16="http://schemas.microsoft.com/office/drawing/2014/main" id="{9E2C7E56-7A02-494F-AEA4-064D0824D7C4}"/>
            </a:ext>
          </a:extLst>
        </xdr:cNvPr>
        <xdr:cNvSpPr/>
      </xdr:nvSpPr>
      <xdr:spPr>
        <a:xfrm>
          <a:off x="1949450" y="44450"/>
          <a:ext cx="11652250" cy="6502400"/>
        </a:xfrm>
        <a:prstGeom prst="roundRect">
          <a:avLst>
            <a:gd name="adj" fmla="val 2441"/>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400050</xdr:colOff>
      <xdr:row>6</xdr:row>
      <xdr:rowOff>114300</xdr:rowOff>
    </xdr:from>
    <xdr:to>
      <xdr:col>2</xdr:col>
      <xdr:colOff>501650</xdr:colOff>
      <xdr:row>9</xdr:row>
      <xdr:rowOff>12700</xdr:rowOff>
    </xdr:to>
    <xdr:sp macro="" textlink="">
      <xdr:nvSpPr>
        <xdr:cNvPr id="4" name="Rectangle 3">
          <a:extLst>
            <a:ext uri="{FF2B5EF4-FFF2-40B4-BE49-F238E27FC236}">
              <a16:creationId xmlns:a16="http://schemas.microsoft.com/office/drawing/2014/main" id="{7E58DB0A-0AC1-484F-BFB7-858A95560029}"/>
            </a:ext>
          </a:extLst>
        </xdr:cNvPr>
        <xdr:cNvSpPr/>
      </xdr:nvSpPr>
      <xdr:spPr>
        <a:xfrm>
          <a:off x="400050" y="1219200"/>
          <a:ext cx="1320800" cy="450850"/>
        </a:xfrm>
        <a:prstGeom prst="rect">
          <a:avLst/>
        </a:prstGeom>
        <a:ln>
          <a:solidFill>
            <a:schemeClr val="accent1">
              <a:shade val="1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b="1"/>
            <a:t>Dash </a:t>
          </a:r>
          <a:r>
            <a:rPr lang="en-IN" sz="1800" b="1" i="1"/>
            <a:t>Board</a:t>
          </a:r>
        </a:p>
      </xdr:txBody>
    </xdr:sp>
    <xdr:clientData/>
  </xdr:twoCellAnchor>
  <xdr:twoCellAnchor editAs="oneCell">
    <xdr:from>
      <xdr:col>3</xdr:col>
      <xdr:colOff>209550</xdr:colOff>
      <xdr:row>15</xdr:row>
      <xdr:rowOff>12700</xdr:rowOff>
    </xdr:from>
    <xdr:to>
      <xdr:col>4</xdr:col>
      <xdr:colOff>590550</xdr:colOff>
      <xdr:row>20</xdr:row>
      <xdr:rowOff>6350</xdr:rowOff>
    </xdr:to>
    <xdr:pic>
      <xdr:nvPicPr>
        <xdr:cNvPr id="5" name="Graphic 4" descr="Bar chart with solid fill">
          <a:extLst>
            <a:ext uri="{FF2B5EF4-FFF2-40B4-BE49-F238E27FC236}">
              <a16:creationId xmlns:a16="http://schemas.microsoft.com/office/drawing/2014/main" id="{637D18E5-20A7-4700-BB3B-F496C8F6DF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38350" y="2774950"/>
          <a:ext cx="990600" cy="914400"/>
        </a:xfrm>
        <a:prstGeom prst="rect">
          <a:avLst/>
        </a:prstGeom>
      </xdr:spPr>
    </xdr:pic>
    <xdr:clientData/>
  </xdr:twoCellAnchor>
  <xdr:twoCellAnchor>
    <xdr:from>
      <xdr:col>4</xdr:col>
      <xdr:colOff>520700</xdr:colOff>
      <xdr:row>16</xdr:row>
      <xdr:rowOff>0</xdr:rowOff>
    </xdr:from>
    <xdr:to>
      <xdr:col>6</xdr:col>
      <xdr:colOff>476250</xdr:colOff>
      <xdr:row>18</xdr:row>
      <xdr:rowOff>95250</xdr:rowOff>
    </xdr:to>
    <xdr:sp macro="" textlink="">
      <xdr:nvSpPr>
        <xdr:cNvPr id="6" name="Rectangle 5">
          <a:extLst>
            <a:ext uri="{FF2B5EF4-FFF2-40B4-BE49-F238E27FC236}">
              <a16:creationId xmlns:a16="http://schemas.microsoft.com/office/drawing/2014/main" id="{8298A91A-BCA3-4344-B4DA-DE9B8A299830}"/>
            </a:ext>
          </a:extLst>
        </xdr:cNvPr>
        <xdr:cNvSpPr/>
      </xdr:nvSpPr>
      <xdr:spPr>
        <a:xfrm>
          <a:off x="2959100" y="2946400"/>
          <a:ext cx="1174750" cy="463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2">
                  <a:lumMod val="75000"/>
                  <a:lumOff val="25000"/>
                </a:schemeClr>
              </a:solidFill>
            </a:rPr>
            <a:t>Analytics</a:t>
          </a:r>
        </a:p>
        <a:p>
          <a:pPr algn="l"/>
          <a:endParaRPr lang="en-IN" sz="2000"/>
        </a:p>
      </xdr:txBody>
    </xdr:sp>
    <xdr:clientData/>
  </xdr:twoCellAnchor>
  <xdr:twoCellAnchor>
    <xdr:from>
      <xdr:col>0</xdr:col>
      <xdr:colOff>374650</xdr:colOff>
      <xdr:row>10</xdr:row>
      <xdr:rowOff>12700</xdr:rowOff>
    </xdr:from>
    <xdr:to>
      <xdr:col>2</xdr:col>
      <xdr:colOff>476250</xdr:colOff>
      <xdr:row>12</xdr:row>
      <xdr:rowOff>95250</xdr:rowOff>
    </xdr:to>
    <xdr:sp macro="" textlink="">
      <xdr:nvSpPr>
        <xdr:cNvPr id="7" name="Rectangle 6">
          <a:hlinkClick xmlns:r="http://schemas.openxmlformats.org/officeDocument/2006/relationships" r:id="rId3"/>
          <a:extLst>
            <a:ext uri="{FF2B5EF4-FFF2-40B4-BE49-F238E27FC236}">
              <a16:creationId xmlns:a16="http://schemas.microsoft.com/office/drawing/2014/main" id="{8DF683A5-0928-4D0A-AA0A-06DE1E59063A}"/>
            </a:ext>
          </a:extLst>
        </xdr:cNvPr>
        <xdr:cNvSpPr/>
      </xdr:nvSpPr>
      <xdr:spPr>
        <a:xfrm>
          <a:off x="374650" y="1854200"/>
          <a:ext cx="1320800" cy="450850"/>
        </a:xfrm>
        <a:prstGeom prst="rect">
          <a:avLst/>
        </a:prstGeom>
        <a:ln>
          <a:gradFill>
            <a:gsLst>
              <a:gs pos="64972">
                <a:srgbClr val="83CAEB">
                  <a:alpha val="97000"/>
                </a:srgb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b="1" i="0"/>
            <a:t>Products</a:t>
          </a:r>
        </a:p>
      </xdr:txBody>
    </xdr:sp>
    <xdr:clientData/>
  </xdr:twoCellAnchor>
  <xdr:twoCellAnchor>
    <xdr:from>
      <xdr:col>0</xdr:col>
      <xdr:colOff>355600</xdr:colOff>
      <xdr:row>13</xdr:row>
      <xdr:rowOff>146050</xdr:rowOff>
    </xdr:from>
    <xdr:to>
      <xdr:col>2</xdr:col>
      <xdr:colOff>457200</xdr:colOff>
      <xdr:row>16</xdr:row>
      <xdr:rowOff>44450</xdr:rowOff>
    </xdr:to>
    <xdr:sp macro="" textlink="">
      <xdr:nvSpPr>
        <xdr:cNvPr id="8" name="Rectangle 7">
          <a:extLst>
            <a:ext uri="{FF2B5EF4-FFF2-40B4-BE49-F238E27FC236}">
              <a16:creationId xmlns:a16="http://schemas.microsoft.com/office/drawing/2014/main" id="{32560195-2088-4645-A747-7231AE97CDBC}"/>
            </a:ext>
          </a:extLst>
        </xdr:cNvPr>
        <xdr:cNvSpPr/>
      </xdr:nvSpPr>
      <xdr:spPr>
        <a:xfrm>
          <a:off x="355600" y="2540000"/>
          <a:ext cx="1320800" cy="450850"/>
        </a:xfrm>
        <a:prstGeom prst="rect">
          <a:avLst/>
        </a:prstGeom>
        <a:ln>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  Sales</a:t>
          </a:r>
          <a:r>
            <a:rPr lang="en-IN" sz="1800" b="1" baseline="0"/>
            <a:t> Man</a:t>
          </a:r>
          <a:endParaRPr lang="en-IN" sz="1800" b="1"/>
        </a:p>
      </xdr:txBody>
    </xdr:sp>
    <xdr:clientData/>
  </xdr:twoCellAnchor>
  <xdr:twoCellAnchor>
    <xdr:from>
      <xdr:col>0</xdr:col>
      <xdr:colOff>368300</xdr:colOff>
      <xdr:row>17</xdr:row>
      <xdr:rowOff>152400</xdr:rowOff>
    </xdr:from>
    <xdr:to>
      <xdr:col>2</xdr:col>
      <xdr:colOff>469900</xdr:colOff>
      <xdr:row>20</xdr:row>
      <xdr:rowOff>50800</xdr:rowOff>
    </xdr:to>
    <xdr:sp macro="" textlink="">
      <xdr:nvSpPr>
        <xdr:cNvPr id="9" name="Rectangle 8">
          <a:extLst>
            <a:ext uri="{FF2B5EF4-FFF2-40B4-BE49-F238E27FC236}">
              <a16:creationId xmlns:a16="http://schemas.microsoft.com/office/drawing/2014/main" id="{E60B2366-0F46-4A1D-9156-8CCF05E27182}"/>
            </a:ext>
          </a:extLst>
        </xdr:cNvPr>
        <xdr:cNvSpPr/>
      </xdr:nvSpPr>
      <xdr:spPr>
        <a:xfrm>
          <a:off x="368300" y="3282950"/>
          <a:ext cx="1320800" cy="450850"/>
        </a:xfrm>
        <a:prstGeom prst="rect">
          <a:avLst/>
        </a:prstGeom>
        <a:ln>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    About</a:t>
          </a:r>
        </a:p>
      </xdr:txBody>
    </xdr:sp>
    <xdr:clientData/>
  </xdr:twoCellAnchor>
  <xdr:twoCellAnchor>
    <xdr:from>
      <xdr:col>3</xdr:col>
      <xdr:colOff>298450</xdr:colOff>
      <xdr:row>19</xdr:row>
      <xdr:rowOff>177800</xdr:rowOff>
    </xdr:from>
    <xdr:to>
      <xdr:col>7</xdr:col>
      <xdr:colOff>228600</xdr:colOff>
      <xdr:row>24</xdr:row>
      <xdr:rowOff>6350</xdr:rowOff>
    </xdr:to>
    <xdr:sp macro="" textlink="">
      <xdr:nvSpPr>
        <xdr:cNvPr id="10" name="Rectangle: Rounded Corners 9">
          <a:extLst>
            <a:ext uri="{FF2B5EF4-FFF2-40B4-BE49-F238E27FC236}">
              <a16:creationId xmlns:a16="http://schemas.microsoft.com/office/drawing/2014/main" id="{25E83B03-2136-49A9-AA05-C7EE95857934}"/>
            </a:ext>
          </a:extLst>
        </xdr:cNvPr>
        <xdr:cNvSpPr/>
      </xdr:nvSpPr>
      <xdr:spPr>
        <a:xfrm>
          <a:off x="2127250" y="3676650"/>
          <a:ext cx="2368550" cy="749300"/>
        </a:xfrm>
        <a:prstGeom prst="roundRect">
          <a:avLst>
            <a:gd name="adj" fmla="val 3192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495300</xdr:colOff>
      <xdr:row>20</xdr:row>
      <xdr:rowOff>38100</xdr:rowOff>
    </xdr:from>
    <xdr:to>
      <xdr:col>11</xdr:col>
      <xdr:colOff>463550</xdr:colOff>
      <xdr:row>24</xdr:row>
      <xdr:rowOff>25400</xdr:rowOff>
    </xdr:to>
    <xdr:sp macro="" textlink="">
      <xdr:nvSpPr>
        <xdr:cNvPr id="11" name="Rectangle: Rounded Corners 10">
          <a:extLst>
            <a:ext uri="{FF2B5EF4-FFF2-40B4-BE49-F238E27FC236}">
              <a16:creationId xmlns:a16="http://schemas.microsoft.com/office/drawing/2014/main" id="{9790A9AA-E693-4BCC-8479-9A1CFD0F4978}"/>
            </a:ext>
          </a:extLst>
        </xdr:cNvPr>
        <xdr:cNvSpPr/>
      </xdr:nvSpPr>
      <xdr:spPr>
        <a:xfrm>
          <a:off x="4762500" y="3721100"/>
          <a:ext cx="240665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6350</xdr:colOff>
      <xdr:row>20</xdr:row>
      <xdr:rowOff>38100</xdr:rowOff>
    </xdr:from>
    <xdr:to>
      <xdr:col>11</xdr:col>
      <xdr:colOff>330200</xdr:colOff>
      <xdr:row>24</xdr:row>
      <xdr:rowOff>6350</xdr:rowOff>
    </xdr:to>
    <xdr:sp macro="" textlink="">
      <xdr:nvSpPr>
        <xdr:cNvPr id="12" name="Rectangle: Rounded Corners 11">
          <a:extLst>
            <a:ext uri="{FF2B5EF4-FFF2-40B4-BE49-F238E27FC236}">
              <a16:creationId xmlns:a16="http://schemas.microsoft.com/office/drawing/2014/main" id="{12083DD9-1A7D-4C18-8E92-7521D3D9C215}"/>
            </a:ext>
          </a:extLst>
        </xdr:cNvPr>
        <xdr:cNvSpPr/>
      </xdr:nvSpPr>
      <xdr:spPr>
        <a:xfrm>
          <a:off x="4883150" y="3721100"/>
          <a:ext cx="2152650" cy="7048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solidFill>
                <a:schemeClr val="accent1">
                  <a:lumMod val="60000"/>
                  <a:lumOff val="40000"/>
                </a:schemeClr>
              </a:solidFill>
            </a:rPr>
            <a:t>       </a:t>
          </a:r>
        </a:p>
        <a:p>
          <a:pPr algn="l"/>
          <a:endParaRPr lang="en-IN" sz="1600" b="1">
            <a:solidFill>
              <a:schemeClr val="accent1">
                <a:lumMod val="60000"/>
                <a:lumOff val="40000"/>
              </a:schemeClr>
            </a:solidFill>
          </a:endParaRPr>
        </a:p>
      </xdr:txBody>
    </xdr:sp>
    <xdr:clientData/>
  </xdr:twoCellAnchor>
  <xdr:twoCellAnchor>
    <xdr:from>
      <xdr:col>3</xdr:col>
      <xdr:colOff>234950</xdr:colOff>
      <xdr:row>25</xdr:row>
      <xdr:rowOff>6350</xdr:rowOff>
    </xdr:from>
    <xdr:to>
      <xdr:col>11</xdr:col>
      <xdr:colOff>412750</xdr:colOff>
      <xdr:row>35</xdr:row>
      <xdr:rowOff>19050</xdr:rowOff>
    </xdr:to>
    <xdr:sp macro="" textlink="">
      <xdr:nvSpPr>
        <xdr:cNvPr id="13" name="Rectangle 12">
          <a:extLst>
            <a:ext uri="{FF2B5EF4-FFF2-40B4-BE49-F238E27FC236}">
              <a16:creationId xmlns:a16="http://schemas.microsoft.com/office/drawing/2014/main" id="{3E3A2237-E5AD-4001-BAA1-4A6D707364F6}"/>
            </a:ext>
          </a:extLst>
        </xdr:cNvPr>
        <xdr:cNvSpPr/>
      </xdr:nvSpPr>
      <xdr:spPr>
        <a:xfrm>
          <a:off x="2063750" y="4610100"/>
          <a:ext cx="5054600" cy="1854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Sales for</a:t>
          </a:r>
          <a:r>
            <a:rPr lang="en-IN" sz="1400" b="1" baseline="0"/>
            <a:t> </a:t>
          </a:r>
          <a:r>
            <a:rPr lang="en-IN" sz="1400" b="1"/>
            <a:t>Product</a:t>
          </a:r>
        </a:p>
      </xdr:txBody>
    </xdr:sp>
    <xdr:clientData/>
  </xdr:twoCellAnchor>
  <xdr:twoCellAnchor>
    <xdr:from>
      <xdr:col>11</xdr:col>
      <xdr:colOff>539750</xdr:colOff>
      <xdr:row>15</xdr:row>
      <xdr:rowOff>0</xdr:rowOff>
    </xdr:from>
    <xdr:to>
      <xdr:col>20</xdr:col>
      <xdr:colOff>57150</xdr:colOff>
      <xdr:row>24</xdr:row>
      <xdr:rowOff>95250</xdr:rowOff>
    </xdr:to>
    <xdr:sp macro="" textlink="">
      <xdr:nvSpPr>
        <xdr:cNvPr id="14" name="Rectangle 13">
          <a:extLst>
            <a:ext uri="{FF2B5EF4-FFF2-40B4-BE49-F238E27FC236}">
              <a16:creationId xmlns:a16="http://schemas.microsoft.com/office/drawing/2014/main" id="{9241EC5F-B4CA-4EBB-9429-40279465C919}"/>
            </a:ext>
          </a:extLst>
        </xdr:cNvPr>
        <xdr:cNvSpPr/>
      </xdr:nvSpPr>
      <xdr:spPr>
        <a:xfrm>
          <a:off x="7245350" y="2762250"/>
          <a:ext cx="5003800" cy="1752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accent2">
                  <a:lumMod val="75000"/>
                </a:schemeClr>
              </a:solidFill>
              <a:effectLst/>
              <a:latin typeface="+mn-lt"/>
              <a:ea typeface="+mn-ea"/>
              <a:cs typeface="+mn-cs"/>
            </a:rPr>
            <a:t>Top</a:t>
          </a:r>
          <a:r>
            <a:rPr lang="en-IN" sz="1400" b="1" baseline="0">
              <a:solidFill>
                <a:schemeClr val="accent2">
                  <a:lumMod val="75000"/>
                </a:schemeClr>
              </a:solidFill>
              <a:effectLst/>
              <a:latin typeface="+mn-lt"/>
              <a:ea typeface="+mn-ea"/>
              <a:cs typeface="+mn-cs"/>
            </a:rPr>
            <a:t> 3 Products</a:t>
          </a:r>
          <a:endParaRPr lang="en-IN" sz="1400" b="1">
            <a:solidFill>
              <a:schemeClr val="accent2">
                <a:lumMod val="75000"/>
              </a:schemeClr>
            </a:solidFill>
            <a:effectLst/>
          </a:endParaRPr>
        </a:p>
        <a:p>
          <a:pPr algn="l"/>
          <a:endParaRPr lang="en-IN" sz="1100"/>
        </a:p>
      </xdr:txBody>
    </xdr:sp>
    <xdr:clientData/>
  </xdr:twoCellAnchor>
  <xdr:twoCellAnchor>
    <xdr:from>
      <xdr:col>11</xdr:col>
      <xdr:colOff>495300</xdr:colOff>
      <xdr:row>24</xdr:row>
      <xdr:rowOff>146050</xdr:rowOff>
    </xdr:from>
    <xdr:to>
      <xdr:col>20</xdr:col>
      <xdr:colOff>127000</xdr:colOff>
      <xdr:row>35</xdr:row>
      <xdr:rowOff>38100</xdr:rowOff>
    </xdr:to>
    <xdr:sp macro="" textlink="">
      <xdr:nvSpPr>
        <xdr:cNvPr id="15" name="Rectangle 14">
          <a:extLst>
            <a:ext uri="{FF2B5EF4-FFF2-40B4-BE49-F238E27FC236}">
              <a16:creationId xmlns:a16="http://schemas.microsoft.com/office/drawing/2014/main" id="{75D855AE-08E2-4FB8-9A15-060C87B4FB75}"/>
            </a:ext>
          </a:extLst>
        </xdr:cNvPr>
        <xdr:cNvSpPr/>
      </xdr:nvSpPr>
      <xdr:spPr>
        <a:xfrm>
          <a:off x="7200900" y="4565650"/>
          <a:ext cx="5118100" cy="19177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accent2">
                  <a:lumMod val="75000"/>
                </a:schemeClr>
              </a:solidFill>
            </a:rPr>
            <a:t>Bottom</a:t>
          </a:r>
          <a:r>
            <a:rPr lang="en-IN" sz="1400" b="1" baseline="0">
              <a:solidFill>
                <a:schemeClr val="accent2">
                  <a:lumMod val="75000"/>
                </a:schemeClr>
              </a:solidFill>
            </a:rPr>
            <a:t> 3 Products</a:t>
          </a:r>
          <a:endParaRPr lang="en-IN" sz="1400" b="1">
            <a:solidFill>
              <a:schemeClr val="accent2">
                <a:lumMod val="75000"/>
              </a:schemeClr>
            </a:solidFill>
          </a:endParaRPr>
        </a:p>
      </xdr:txBody>
    </xdr:sp>
    <xdr:clientData/>
  </xdr:twoCellAnchor>
  <xdr:twoCellAnchor>
    <xdr:from>
      <xdr:col>3</xdr:col>
      <xdr:colOff>457200</xdr:colOff>
      <xdr:row>19</xdr:row>
      <xdr:rowOff>158750</xdr:rowOff>
    </xdr:from>
    <xdr:to>
      <xdr:col>7</xdr:col>
      <xdr:colOff>146050</xdr:colOff>
      <xdr:row>23</xdr:row>
      <xdr:rowOff>171450</xdr:rowOff>
    </xdr:to>
    <xdr:sp macro="" textlink="">
      <xdr:nvSpPr>
        <xdr:cNvPr id="16" name="Rectangle: Rounded Corners 15">
          <a:extLst>
            <a:ext uri="{FF2B5EF4-FFF2-40B4-BE49-F238E27FC236}">
              <a16:creationId xmlns:a16="http://schemas.microsoft.com/office/drawing/2014/main" id="{D1214CCD-559A-4618-8C1F-2FA6031A3C0F}"/>
            </a:ext>
          </a:extLst>
        </xdr:cNvPr>
        <xdr:cNvSpPr/>
      </xdr:nvSpPr>
      <xdr:spPr>
        <a:xfrm>
          <a:off x="2286000" y="3657600"/>
          <a:ext cx="2127250" cy="749300"/>
        </a:xfrm>
        <a:prstGeom prst="roundRect">
          <a:avLst>
            <a:gd name="adj" fmla="val 3192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444500</xdr:colOff>
      <xdr:row>20</xdr:row>
      <xdr:rowOff>6350</xdr:rowOff>
    </xdr:from>
    <xdr:to>
      <xdr:col>6</xdr:col>
      <xdr:colOff>488950</xdr:colOff>
      <xdr:row>21</xdr:row>
      <xdr:rowOff>171450</xdr:rowOff>
    </xdr:to>
    <xdr:sp macro="" textlink="">
      <xdr:nvSpPr>
        <xdr:cNvPr id="17" name="Rectangle 16">
          <a:extLst>
            <a:ext uri="{FF2B5EF4-FFF2-40B4-BE49-F238E27FC236}">
              <a16:creationId xmlns:a16="http://schemas.microsoft.com/office/drawing/2014/main" id="{FFEA8DA2-76CE-4FC3-9248-D7EDC159CBBD}"/>
            </a:ext>
          </a:extLst>
        </xdr:cNvPr>
        <xdr:cNvSpPr/>
      </xdr:nvSpPr>
      <xdr:spPr>
        <a:xfrm>
          <a:off x="2273300" y="3689350"/>
          <a:ext cx="1873250" cy="3492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2">
                  <a:lumMod val="75000"/>
                  <a:lumOff val="25000"/>
                </a:schemeClr>
              </a:solidFill>
            </a:rPr>
            <a:t>Total amount</a:t>
          </a:r>
        </a:p>
        <a:p>
          <a:pPr algn="l"/>
          <a:endParaRPr lang="en-IN" sz="2000"/>
        </a:p>
      </xdr:txBody>
    </xdr:sp>
    <xdr:clientData/>
  </xdr:twoCellAnchor>
  <xdr:twoCellAnchor editAs="oneCell">
    <xdr:from>
      <xdr:col>3</xdr:col>
      <xdr:colOff>139700</xdr:colOff>
      <xdr:row>0</xdr:row>
      <xdr:rowOff>44450</xdr:rowOff>
    </xdr:from>
    <xdr:to>
      <xdr:col>13</xdr:col>
      <xdr:colOff>95250</xdr:colOff>
      <xdr:row>10</xdr:row>
      <xdr:rowOff>19050</xdr:rowOff>
    </xdr:to>
    <mc:AlternateContent xmlns:mc="http://schemas.openxmlformats.org/markup-compatibility/2006">
      <mc:Choice xmlns:tsle="http://schemas.microsoft.com/office/drawing/2012/timeslicer" Requires="tsle">
        <xdr:graphicFrame macro="">
          <xdr:nvGraphicFramePr>
            <xdr:cNvPr id="18" name="Date 2">
              <a:extLst>
                <a:ext uri="{FF2B5EF4-FFF2-40B4-BE49-F238E27FC236}">
                  <a16:creationId xmlns:a16="http://schemas.microsoft.com/office/drawing/2014/main" id="{7790313F-9AB9-4B43-8363-49CA80D8CB13}"/>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1968500" y="44450"/>
              <a:ext cx="6051550" cy="1816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139700</xdr:colOff>
      <xdr:row>10</xdr:row>
      <xdr:rowOff>31750</xdr:rowOff>
    </xdr:from>
    <xdr:to>
      <xdr:col>19</xdr:col>
      <xdr:colOff>355600</xdr:colOff>
      <xdr:row>14</xdr:row>
      <xdr:rowOff>44450</xdr:rowOff>
    </xdr:to>
    <mc:AlternateContent xmlns:mc="http://schemas.openxmlformats.org/markup-compatibility/2006">
      <mc:Choice xmlns:a14="http://schemas.microsoft.com/office/drawing/2010/main" Requires="a14">
        <xdr:graphicFrame macro="">
          <xdr:nvGraphicFramePr>
            <xdr:cNvPr id="19" name="Products 3">
              <a:extLst>
                <a:ext uri="{FF2B5EF4-FFF2-40B4-BE49-F238E27FC236}">
                  <a16:creationId xmlns:a16="http://schemas.microsoft.com/office/drawing/2014/main" id="{423363E3-A5BA-4F54-958F-FC77A609E2B9}"/>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dr:sp macro="" textlink="">
          <xdr:nvSpPr>
            <xdr:cNvPr id="0" name=""/>
            <xdr:cNvSpPr>
              <a:spLocks noTextEdit="1"/>
            </xdr:cNvSpPr>
          </xdr:nvSpPr>
          <xdr:spPr>
            <a:xfrm>
              <a:off x="1968500" y="1873250"/>
              <a:ext cx="9969500" cy="74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114300</xdr:colOff>
      <xdr:row>0</xdr:row>
      <xdr:rowOff>133350</xdr:rowOff>
    </xdr:from>
    <xdr:to>
      <xdr:col>19</xdr:col>
      <xdr:colOff>330200</xdr:colOff>
      <xdr:row>9</xdr:row>
      <xdr:rowOff>171450</xdr:rowOff>
    </xdr:to>
    <mc:AlternateContent xmlns:mc="http://schemas.openxmlformats.org/markup-compatibility/2006">
      <mc:Choice xmlns:a14="http://schemas.microsoft.com/office/drawing/2010/main" Requires="a14">
        <xdr:graphicFrame macro="">
          <xdr:nvGraphicFramePr>
            <xdr:cNvPr id="20" name="Place 4">
              <a:extLst>
                <a:ext uri="{FF2B5EF4-FFF2-40B4-BE49-F238E27FC236}">
                  <a16:creationId xmlns:a16="http://schemas.microsoft.com/office/drawing/2014/main" id="{38AFA17A-8669-468A-8E58-31A10B633A7A}"/>
                </a:ext>
              </a:extLst>
            </xdr:cNvPr>
            <xdr:cNvGraphicFramePr/>
          </xdr:nvGraphicFramePr>
          <xdr:xfrm>
            <a:off x="0" y="0"/>
            <a:ext cx="0" cy="0"/>
          </xdr:xfrm>
          <a:graphic>
            <a:graphicData uri="http://schemas.microsoft.com/office/drawing/2010/slicer">
              <sle:slicer xmlns:sle="http://schemas.microsoft.com/office/drawing/2010/slicer" name="Place 4"/>
            </a:graphicData>
          </a:graphic>
        </xdr:graphicFrame>
      </mc:Choice>
      <mc:Fallback>
        <xdr:sp macro="" textlink="">
          <xdr:nvSpPr>
            <xdr:cNvPr id="0" name=""/>
            <xdr:cNvSpPr>
              <a:spLocks noTextEdit="1"/>
            </xdr:cNvSpPr>
          </xdr:nvSpPr>
          <xdr:spPr>
            <a:xfrm>
              <a:off x="8039100" y="133350"/>
              <a:ext cx="387350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95250</xdr:colOff>
      <xdr:row>20</xdr:row>
      <xdr:rowOff>50800</xdr:rowOff>
    </xdr:from>
    <xdr:to>
      <xdr:col>10</xdr:col>
      <xdr:colOff>50800</xdr:colOff>
      <xdr:row>22</xdr:row>
      <xdr:rowOff>146050</xdr:rowOff>
    </xdr:to>
    <xdr:sp macro="" textlink="">
      <xdr:nvSpPr>
        <xdr:cNvPr id="21" name="Rectangle 20">
          <a:extLst>
            <a:ext uri="{FF2B5EF4-FFF2-40B4-BE49-F238E27FC236}">
              <a16:creationId xmlns:a16="http://schemas.microsoft.com/office/drawing/2014/main" id="{8920CDF5-B50D-4D4A-95C0-CEAE08A892C3}"/>
            </a:ext>
          </a:extLst>
        </xdr:cNvPr>
        <xdr:cNvSpPr/>
      </xdr:nvSpPr>
      <xdr:spPr>
        <a:xfrm>
          <a:off x="4972050" y="3733800"/>
          <a:ext cx="1174750" cy="463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2">
                  <a:lumMod val="75000"/>
                  <a:lumOff val="25000"/>
                </a:schemeClr>
              </a:solidFill>
            </a:rPr>
            <a:t>Sales</a:t>
          </a:r>
        </a:p>
        <a:p>
          <a:pPr algn="l"/>
          <a:endParaRPr lang="en-IN" sz="2000" b="1">
            <a:solidFill>
              <a:schemeClr val="tx2">
                <a:lumMod val="75000"/>
                <a:lumOff val="25000"/>
              </a:schemeClr>
            </a:solidFill>
          </a:endParaRPr>
        </a:p>
        <a:p>
          <a:pPr algn="l"/>
          <a:endParaRPr lang="en-IN" sz="2000"/>
        </a:p>
      </xdr:txBody>
    </xdr:sp>
    <xdr:clientData/>
  </xdr:twoCellAnchor>
  <xdr:twoCellAnchor>
    <xdr:from>
      <xdr:col>3</xdr:col>
      <xdr:colOff>469900</xdr:colOff>
      <xdr:row>26</xdr:row>
      <xdr:rowOff>127000</xdr:rowOff>
    </xdr:from>
    <xdr:to>
      <xdr:col>10</xdr:col>
      <xdr:colOff>590550</xdr:colOff>
      <xdr:row>34</xdr:row>
      <xdr:rowOff>120650</xdr:rowOff>
    </xdr:to>
    <xdr:graphicFrame macro="">
      <xdr:nvGraphicFramePr>
        <xdr:cNvPr id="24" name="Chart 23">
          <a:extLst>
            <a:ext uri="{FF2B5EF4-FFF2-40B4-BE49-F238E27FC236}">
              <a16:creationId xmlns:a16="http://schemas.microsoft.com/office/drawing/2014/main" id="{0630A8AF-F0D4-4DB0-AE2E-6BBD7D322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222250</xdr:colOff>
      <xdr:row>22</xdr:row>
      <xdr:rowOff>12700</xdr:rowOff>
    </xdr:from>
    <xdr:to>
      <xdr:col>10</xdr:col>
      <xdr:colOff>260350</xdr:colOff>
      <xdr:row>23</xdr:row>
      <xdr:rowOff>158750</xdr:rowOff>
    </xdr:to>
    <xdr:sp macro="" textlink="'Pivot Table'!B62">
      <xdr:nvSpPr>
        <xdr:cNvPr id="25" name="Rectangle 24">
          <a:extLst>
            <a:ext uri="{FF2B5EF4-FFF2-40B4-BE49-F238E27FC236}">
              <a16:creationId xmlns:a16="http://schemas.microsoft.com/office/drawing/2014/main" id="{D9CC750E-C71E-4544-AD5C-81B45FE1D36A}"/>
            </a:ext>
          </a:extLst>
        </xdr:cNvPr>
        <xdr:cNvSpPr/>
      </xdr:nvSpPr>
      <xdr:spPr>
        <a:xfrm>
          <a:off x="5099050" y="4064000"/>
          <a:ext cx="1257300" cy="3302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A58A243-FF1E-4F24-B6C1-ED74695AE985}" type="TxLink">
            <a:rPr lang="en-US" sz="1600" b="0" i="0" u="none" strike="noStrike">
              <a:solidFill>
                <a:schemeClr val="accent1">
                  <a:lumMod val="60000"/>
                  <a:lumOff val="40000"/>
                </a:schemeClr>
              </a:solidFill>
              <a:latin typeface="Calibri"/>
              <a:ea typeface="Calibri"/>
              <a:cs typeface="Calibri"/>
            </a:rPr>
            <a:t> </a:t>
          </a:fld>
          <a:endParaRPr lang="en-IN" sz="1600" b="1">
            <a:solidFill>
              <a:schemeClr val="accent1">
                <a:lumMod val="60000"/>
                <a:lumOff val="40000"/>
              </a:schemeClr>
            </a:solidFill>
          </a:endParaRPr>
        </a:p>
      </xdr:txBody>
    </xdr:sp>
    <xdr:clientData/>
  </xdr:twoCellAnchor>
  <xdr:twoCellAnchor>
    <xdr:from>
      <xdr:col>4</xdr:col>
      <xdr:colOff>63500</xdr:colOff>
      <xdr:row>21</xdr:row>
      <xdr:rowOff>114300</xdr:rowOff>
    </xdr:from>
    <xdr:to>
      <xdr:col>6</xdr:col>
      <xdr:colOff>50800</xdr:colOff>
      <xdr:row>23</xdr:row>
      <xdr:rowOff>139700</xdr:rowOff>
    </xdr:to>
    <xdr:sp macro="" textlink="'Pivot Table'!C58">
      <xdr:nvSpPr>
        <xdr:cNvPr id="26" name="Rectangle 25">
          <a:extLst>
            <a:ext uri="{FF2B5EF4-FFF2-40B4-BE49-F238E27FC236}">
              <a16:creationId xmlns:a16="http://schemas.microsoft.com/office/drawing/2014/main" id="{CCDB2B5C-E7B8-4C3A-BB0D-FA1D6F7BA8DA}"/>
            </a:ext>
          </a:extLst>
        </xdr:cNvPr>
        <xdr:cNvSpPr/>
      </xdr:nvSpPr>
      <xdr:spPr>
        <a:xfrm>
          <a:off x="2501900" y="3981450"/>
          <a:ext cx="1206500" cy="3937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F171FBB-5F93-4F0D-9CF5-6A7F1BF2C93B}" type="TxLink">
            <a:rPr lang="en-US" sz="1600" b="1" i="0" u="none" strike="noStrike">
              <a:solidFill>
                <a:srgbClr val="000000"/>
              </a:solidFill>
              <a:latin typeface="Calibri"/>
              <a:ea typeface="Calibri"/>
              <a:cs typeface="Calibri"/>
            </a:rPr>
            <a:t>11,87,31,893</a:t>
          </a:fld>
          <a:endParaRPr lang="en-IN" sz="1600" b="1">
            <a:solidFill>
              <a:schemeClr val="accent1">
                <a:lumMod val="60000"/>
                <a:lumOff val="40000"/>
              </a:schemeClr>
            </a:solidFill>
          </a:endParaRPr>
        </a:p>
      </xdr:txBody>
    </xdr:sp>
    <xdr:clientData/>
  </xdr:twoCellAnchor>
  <xdr:twoCellAnchor>
    <xdr:from>
      <xdr:col>8</xdr:col>
      <xdr:colOff>215900</xdr:colOff>
      <xdr:row>21</xdr:row>
      <xdr:rowOff>146050</xdr:rowOff>
    </xdr:from>
    <xdr:to>
      <xdr:col>10</xdr:col>
      <xdr:colOff>38100</xdr:colOff>
      <xdr:row>23</xdr:row>
      <xdr:rowOff>171450</xdr:rowOff>
    </xdr:to>
    <xdr:sp macro="" textlink="'Pivot Table'!C62">
      <xdr:nvSpPr>
        <xdr:cNvPr id="27" name="Rectangle 26">
          <a:extLst>
            <a:ext uri="{FF2B5EF4-FFF2-40B4-BE49-F238E27FC236}">
              <a16:creationId xmlns:a16="http://schemas.microsoft.com/office/drawing/2014/main" id="{03CB3C93-9A26-4023-9591-7B8F615380E2}"/>
            </a:ext>
          </a:extLst>
        </xdr:cNvPr>
        <xdr:cNvSpPr/>
      </xdr:nvSpPr>
      <xdr:spPr>
        <a:xfrm>
          <a:off x="5092700" y="4013200"/>
          <a:ext cx="1041400" cy="3937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5B7538DD-003D-46DC-86B6-F35C7CB5590B}" type="TxLink">
            <a:rPr lang="en-US" sz="1600" b="1" i="0" u="none" strike="noStrike">
              <a:solidFill>
                <a:srgbClr val="000000"/>
              </a:solidFill>
              <a:latin typeface="Calibri"/>
              <a:ea typeface="Calibri"/>
              <a:cs typeface="Calibri"/>
            </a:rPr>
            <a:t>278</a:t>
          </a:fld>
          <a:endParaRPr lang="en-IN" sz="1600" b="1">
            <a:solidFill>
              <a:schemeClr val="accent1">
                <a:lumMod val="60000"/>
                <a:lumOff val="40000"/>
              </a:schemeClr>
            </a:solidFill>
          </a:endParaRPr>
        </a:p>
      </xdr:txBody>
    </xdr:sp>
    <xdr:clientData/>
  </xdr:twoCellAnchor>
  <xdr:twoCellAnchor>
    <xdr:from>
      <xdr:col>12</xdr:col>
      <xdr:colOff>241300</xdr:colOff>
      <xdr:row>16</xdr:row>
      <xdr:rowOff>101600</xdr:rowOff>
    </xdr:from>
    <xdr:to>
      <xdr:col>19</xdr:col>
      <xdr:colOff>196850</xdr:colOff>
      <xdr:row>24</xdr:row>
      <xdr:rowOff>38100</xdr:rowOff>
    </xdr:to>
    <xdr:graphicFrame macro="">
      <xdr:nvGraphicFramePr>
        <xdr:cNvPr id="28" name="Chart 27">
          <a:extLst>
            <a:ext uri="{FF2B5EF4-FFF2-40B4-BE49-F238E27FC236}">
              <a16:creationId xmlns:a16="http://schemas.microsoft.com/office/drawing/2014/main" id="{0B789BA4-72AA-4F92-8802-46B7DC34E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19050</xdr:colOff>
      <xdr:row>26</xdr:row>
      <xdr:rowOff>88900</xdr:rowOff>
    </xdr:from>
    <xdr:to>
      <xdr:col>19</xdr:col>
      <xdr:colOff>190500</xdr:colOff>
      <xdr:row>34</xdr:row>
      <xdr:rowOff>158750</xdr:rowOff>
    </xdr:to>
    <xdr:graphicFrame macro="">
      <xdr:nvGraphicFramePr>
        <xdr:cNvPr id="29" name="Chart 28">
          <a:extLst>
            <a:ext uri="{FF2B5EF4-FFF2-40B4-BE49-F238E27FC236}">
              <a16:creationId xmlns:a16="http://schemas.microsoft.com/office/drawing/2014/main" id="{6082926A-5498-4461-AC7F-5876B2C33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38100</xdr:rowOff>
    </xdr:from>
    <xdr:to>
      <xdr:col>21</xdr:col>
      <xdr:colOff>476250</xdr:colOff>
      <xdr:row>35</xdr:row>
      <xdr:rowOff>95250</xdr:rowOff>
    </xdr:to>
    <xdr:sp macro="" textlink="">
      <xdr:nvSpPr>
        <xdr:cNvPr id="2" name="Rectangle: Rounded Corners 1">
          <a:extLst>
            <a:ext uri="{FF2B5EF4-FFF2-40B4-BE49-F238E27FC236}">
              <a16:creationId xmlns:a16="http://schemas.microsoft.com/office/drawing/2014/main" id="{E3920C97-AA2D-AE0F-F84E-61E4F93CF750}"/>
            </a:ext>
          </a:extLst>
        </xdr:cNvPr>
        <xdr:cNvSpPr/>
      </xdr:nvSpPr>
      <xdr:spPr>
        <a:xfrm>
          <a:off x="0" y="38100"/>
          <a:ext cx="13277850" cy="650240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120650</xdr:colOff>
      <xdr:row>0</xdr:row>
      <xdr:rowOff>44450</xdr:rowOff>
    </xdr:from>
    <xdr:to>
      <xdr:col>22</xdr:col>
      <xdr:colOff>190500</xdr:colOff>
      <xdr:row>35</xdr:row>
      <xdr:rowOff>101600</xdr:rowOff>
    </xdr:to>
    <xdr:sp macro="" textlink="">
      <xdr:nvSpPr>
        <xdr:cNvPr id="3" name="Rectangle: Rounded Corners 2">
          <a:extLst>
            <a:ext uri="{FF2B5EF4-FFF2-40B4-BE49-F238E27FC236}">
              <a16:creationId xmlns:a16="http://schemas.microsoft.com/office/drawing/2014/main" id="{2B0D3228-034F-4DF2-A942-F2ACEFBF475E}"/>
            </a:ext>
          </a:extLst>
        </xdr:cNvPr>
        <xdr:cNvSpPr/>
      </xdr:nvSpPr>
      <xdr:spPr>
        <a:xfrm>
          <a:off x="1949450" y="44450"/>
          <a:ext cx="11652250" cy="6502400"/>
        </a:xfrm>
        <a:prstGeom prst="roundRect">
          <a:avLst>
            <a:gd name="adj" fmla="val 2441"/>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400050</xdr:colOff>
      <xdr:row>6</xdr:row>
      <xdr:rowOff>114300</xdr:rowOff>
    </xdr:from>
    <xdr:to>
      <xdr:col>2</xdr:col>
      <xdr:colOff>501650</xdr:colOff>
      <xdr:row>9</xdr:row>
      <xdr:rowOff>12700</xdr:rowOff>
    </xdr:to>
    <xdr:sp macro="" textlink="">
      <xdr:nvSpPr>
        <xdr:cNvPr id="6" name="Rectangle 5">
          <a:extLst>
            <a:ext uri="{FF2B5EF4-FFF2-40B4-BE49-F238E27FC236}">
              <a16:creationId xmlns:a16="http://schemas.microsoft.com/office/drawing/2014/main" id="{D97BE48B-D1B8-9330-59A3-D01199C9C19B}"/>
            </a:ext>
          </a:extLst>
        </xdr:cNvPr>
        <xdr:cNvSpPr/>
      </xdr:nvSpPr>
      <xdr:spPr>
        <a:xfrm>
          <a:off x="400050" y="1219200"/>
          <a:ext cx="1320800" cy="450850"/>
        </a:xfrm>
        <a:prstGeom prst="rect">
          <a:avLst/>
        </a:prstGeom>
        <a:ln>
          <a:solidFill>
            <a:schemeClr val="accent1">
              <a:shade val="1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b="1"/>
            <a:t>Dash </a:t>
          </a:r>
          <a:r>
            <a:rPr lang="en-IN" sz="1800" b="1" i="1"/>
            <a:t>Board</a:t>
          </a:r>
        </a:p>
      </xdr:txBody>
    </xdr:sp>
    <xdr:clientData/>
  </xdr:twoCellAnchor>
  <xdr:twoCellAnchor editAs="oneCell">
    <xdr:from>
      <xdr:col>3</xdr:col>
      <xdr:colOff>209550</xdr:colOff>
      <xdr:row>15</xdr:row>
      <xdr:rowOff>12700</xdr:rowOff>
    </xdr:from>
    <xdr:to>
      <xdr:col>4</xdr:col>
      <xdr:colOff>590550</xdr:colOff>
      <xdr:row>20</xdr:row>
      <xdr:rowOff>6350</xdr:rowOff>
    </xdr:to>
    <xdr:pic>
      <xdr:nvPicPr>
        <xdr:cNvPr id="9" name="Graphic 8" descr="Bar chart with solid fill">
          <a:extLst>
            <a:ext uri="{FF2B5EF4-FFF2-40B4-BE49-F238E27FC236}">
              <a16:creationId xmlns:a16="http://schemas.microsoft.com/office/drawing/2014/main" id="{ED4C1928-3BB1-8553-1ECE-3C0395549A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38350" y="2774950"/>
          <a:ext cx="990600" cy="914400"/>
        </a:xfrm>
        <a:prstGeom prst="rect">
          <a:avLst/>
        </a:prstGeom>
      </xdr:spPr>
    </xdr:pic>
    <xdr:clientData/>
  </xdr:twoCellAnchor>
  <xdr:twoCellAnchor>
    <xdr:from>
      <xdr:col>4</xdr:col>
      <xdr:colOff>520700</xdr:colOff>
      <xdr:row>16</xdr:row>
      <xdr:rowOff>0</xdr:rowOff>
    </xdr:from>
    <xdr:to>
      <xdr:col>6</xdr:col>
      <xdr:colOff>476250</xdr:colOff>
      <xdr:row>18</xdr:row>
      <xdr:rowOff>95250</xdr:rowOff>
    </xdr:to>
    <xdr:sp macro="" textlink="">
      <xdr:nvSpPr>
        <xdr:cNvPr id="10" name="Rectangle 9">
          <a:extLst>
            <a:ext uri="{FF2B5EF4-FFF2-40B4-BE49-F238E27FC236}">
              <a16:creationId xmlns:a16="http://schemas.microsoft.com/office/drawing/2014/main" id="{C910D73D-91D6-500D-59E0-9F3DDD3880AE}"/>
            </a:ext>
          </a:extLst>
        </xdr:cNvPr>
        <xdr:cNvSpPr/>
      </xdr:nvSpPr>
      <xdr:spPr>
        <a:xfrm>
          <a:off x="2959100" y="2946400"/>
          <a:ext cx="1174750" cy="463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2">
                  <a:lumMod val="75000"/>
                  <a:lumOff val="25000"/>
                </a:schemeClr>
              </a:solidFill>
            </a:rPr>
            <a:t>Analytics</a:t>
          </a:r>
        </a:p>
        <a:p>
          <a:pPr algn="l"/>
          <a:endParaRPr lang="en-IN" sz="2000"/>
        </a:p>
      </xdr:txBody>
    </xdr:sp>
    <xdr:clientData/>
  </xdr:twoCellAnchor>
  <xdr:twoCellAnchor>
    <xdr:from>
      <xdr:col>0</xdr:col>
      <xdr:colOff>374650</xdr:colOff>
      <xdr:row>10</xdr:row>
      <xdr:rowOff>12700</xdr:rowOff>
    </xdr:from>
    <xdr:to>
      <xdr:col>2</xdr:col>
      <xdr:colOff>476250</xdr:colOff>
      <xdr:row>12</xdr:row>
      <xdr:rowOff>95250</xdr:rowOff>
    </xdr:to>
    <xdr:sp macro="" textlink="">
      <xdr:nvSpPr>
        <xdr:cNvPr id="11" name="Rectangle 10">
          <a:hlinkClick xmlns:r="http://schemas.openxmlformats.org/officeDocument/2006/relationships" r:id="rId3"/>
          <a:extLst>
            <a:ext uri="{FF2B5EF4-FFF2-40B4-BE49-F238E27FC236}">
              <a16:creationId xmlns:a16="http://schemas.microsoft.com/office/drawing/2014/main" id="{078E74A6-5FE0-48F3-8463-0C51379C8401}"/>
            </a:ext>
          </a:extLst>
        </xdr:cNvPr>
        <xdr:cNvSpPr/>
      </xdr:nvSpPr>
      <xdr:spPr>
        <a:xfrm>
          <a:off x="374650" y="1854200"/>
          <a:ext cx="1320800" cy="450850"/>
        </a:xfrm>
        <a:prstGeom prst="rect">
          <a:avLst/>
        </a:prstGeom>
        <a:ln>
          <a:gradFill>
            <a:gsLst>
              <a:gs pos="64972">
                <a:srgbClr val="83CAEB">
                  <a:alpha val="97000"/>
                </a:srgb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b="1" i="0"/>
            <a:t>Products</a:t>
          </a:r>
        </a:p>
      </xdr:txBody>
    </xdr:sp>
    <xdr:clientData/>
  </xdr:twoCellAnchor>
  <xdr:twoCellAnchor>
    <xdr:from>
      <xdr:col>0</xdr:col>
      <xdr:colOff>355600</xdr:colOff>
      <xdr:row>13</xdr:row>
      <xdr:rowOff>146050</xdr:rowOff>
    </xdr:from>
    <xdr:to>
      <xdr:col>2</xdr:col>
      <xdr:colOff>457200</xdr:colOff>
      <xdr:row>16</xdr:row>
      <xdr:rowOff>44450</xdr:rowOff>
    </xdr:to>
    <xdr:sp macro="" textlink="">
      <xdr:nvSpPr>
        <xdr:cNvPr id="12" name="Rectangle 11">
          <a:hlinkClick xmlns:r="http://schemas.openxmlformats.org/officeDocument/2006/relationships" r:id="rId4"/>
          <a:extLst>
            <a:ext uri="{FF2B5EF4-FFF2-40B4-BE49-F238E27FC236}">
              <a16:creationId xmlns:a16="http://schemas.microsoft.com/office/drawing/2014/main" id="{29CCCD24-249D-4FDD-90C9-071AF68DC499}"/>
            </a:ext>
          </a:extLst>
        </xdr:cNvPr>
        <xdr:cNvSpPr/>
      </xdr:nvSpPr>
      <xdr:spPr>
        <a:xfrm>
          <a:off x="355600" y="2540000"/>
          <a:ext cx="1320800" cy="450850"/>
        </a:xfrm>
        <a:prstGeom prst="rect">
          <a:avLst/>
        </a:prstGeom>
        <a:ln>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  Sales</a:t>
          </a:r>
          <a:r>
            <a:rPr lang="en-IN" sz="1800" b="1" baseline="0"/>
            <a:t> Man</a:t>
          </a:r>
          <a:endParaRPr lang="en-IN" sz="1800" b="1"/>
        </a:p>
      </xdr:txBody>
    </xdr:sp>
    <xdr:clientData/>
  </xdr:twoCellAnchor>
  <xdr:twoCellAnchor>
    <xdr:from>
      <xdr:col>0</xdr:col>
      <xdr:colOff>368300</xdr:colOff>
      <xdr:row>17</xdr:row>
      <xdr:rowOff>152400</xdr:rowOff>
    </xdr:from>
    <xdr:to>
      <xdr:col>2</xdr:col>
      <xdr:colOff>469900</xdr:colOff>
      <xdr:row>20</xdr:row>
      <xdr:rowOff>50800</xdr:rowOff>
    </xdr:to>
    <xdr:sp macro="" textlink="">
      <xdr:nvSpPr>
        <xdr:cNvPr id="13" name="Rectangle 12">
          <a:extLst>
            <a:ext uri="{FF2B5EF4-FFF2-40B4-BE49-F238E27FC236}">
              <a16:creationId xmlns:a16="http://schemas.microsoft.com/office/drawing/2014/main" id="{885605C9-207C-4081-8E4A-E4433E9517A5}"/>
            </a:ext>
          </a:extLst>
        </xdr:cNvPr>
        <xdr:cNvSpPr/>
      </xdr:nvSpPr>
      <xdr:spPr>
        <a:xfrm>
          <a:off x="368300" y="3282950"/>
          <a:ext cx="1320800" cy="450850"/>
        </a:xfrm>
        <a:prstGeom prst="rect">
          <a:avLst/>
        </a:prstGeom>
        <a:ln>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    About</a:t>
          </a:r>
        </a:p>
      </xdr:txBody>
    </xdr:sp>
    <xdr:clientData/>
  </xdr:twoCellAnchor>
  <xdr:twoCellAnchor>
    <xdr:from>
      <xdr:col>3</xdr:col>
      <xdr:colOff>298450</xdr:colOff>
      <xdr:row>19</xdr:row>
      <xdr:rowOff>177800</xdr:rowOff>
    </xdr:from>
    <xdr:to>
      <xdr:col>7</xdr:col>
      <xdr:colOff>228600</xdr:colOff>
      <xdr:row>24</xdr:row>
      <xdr:rowOff>6350</xdr:rowOff>
    </xdr:to>
    <xdr:sp macro="" textlink="">
      <xdr:nvSpPr>
        <xdr:cNvPr id="14" name="Rectangle: Rounded Corners 13">
          <a:extLst>
            <a:ext uri="{FF2B5EF4-FFF2-40B4-BE49-F238E27FC236}">
              <a16:creationId xmlns:a16="http://schemas.microsoft.com/office/drawing/2014/main" id="{108726D4-293A-5A10-BDD4-7BD5A209670F}"/>
            </a:ext>
          </a:extLst>
        </xdr:cNvPr>
        <xdr:cNvSpPr/>
      </xdr:nvSpPr>
      <xdr:spPr>
        <a:xfrm>
          <a:off x="2127250" y="3676650"/>
          <a:ext cx="2368550" cy="749300"/>
        </a:xfrm>
        <a:prstGeom prst="roundRect">
          <a:avLst>
            <a:gd name="adj" fmla="val 3192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495300</xdr:colOff>
      <xdr:row>20</xdr:row>
      <xdr:rowOff>38100</xdr:rowOff>
    </xdr:from>
    <xdr:to>
      <xdr:col>11</xdr:col>
      <xdr:colOff>463550</xdr:colOff>
      <xdr:row>24</xdr:row>
      <xdr:rowOff>25400</xdr:rowOff>
    </xdr:to>
    <xdr:sp macro="" textlink="">
      <xdr:nvSpPr>
        <xdr:cNvPr id="15" name="Rectangle: Rounded Corners 14">
          <a:extLst>
            <a:ext uri="{FF2B5EF4-FFF2-40B4-BE49-F238E27FC236}">
              <a16:creationId xmlns:a16="http://schemas.microsoft.com/office/drawing/2014/main" id="{0C70F5FF-337D-409F-9273-92D322851C3E}"/>
            </a:ext>
          </a:extLst>
        </xdr:cNvPr>
        <xdr:cNvSpPr/>
      </xdr:nvSpPr>
      <xdr:spPr>
        <a:xfrm>
          <a:off x="4762500" y="3721100"/>
          <a:ext cx="240665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6350</xdr:colOff>
      <xdr:row>20</xdr:row>
      <xdr:rowOff>38100</xdr:rowOff>
    </xdr:from>
    <xdr:to>
      <xdr:col>11</xdr:col>
      <xdr:colOff>330200</xdr:colOff>
      <xdr:row>24</xdr:row>
      <xdr:rowOff>6350</xdr:rowOff>
    </xdr:to>
    <xdr:sp macro="" textlink="">
      <xdr:nvSpPr>
        <xdr:cNvPr id="18" name="Rectangle: Rounded Corners 17">
          <a:extLst>
            <a:ext uri="{FF2B5EF4-FFF2-40B4-BE49-F238E27FC236}">
              <a16:creationId xmlns:a16="http://schemas.microsoft.com/office/drawing/2014/main" id="{70E19063-9EF3-4AFC-9908-7F350624570F}"/>
            </a:ext>
          </a:extLst>
        </xdr:cNvPr>
        <xdr:cNvSpPr/>
      </xdr:nvSpPr>
      <xdr:spPr>
        <a:xfrm>
          <a:off x="4883150" y="3721100"/>
          <a:ext cx="2152650" cy="7048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solidFill>
                <a:schemeClr val="accent1">
                  <a:lumMod val="60000"/>
                  <a:lumOff val="40000"/>
                </a:schemeClr>
              </a:solidFill>
            </a:rPr>
            <a:t>       </a:t>
          </a:r>
        </a:p>
        <a:p>
          <a:pPr algn="l"/>
          <a:endParaRPr lang="en-IN" sz="1600" b="1">
            <a:solidFill>
              <a:schemeClr val="accent1">
                <a:lumMod val="60000"/>
                <a:lumOff val="40000"/>
              </a:schemeClr>
            </a:solidFill>
          </a:endParaRPr>
        </a:p>
      </xdr:txBody>
    </xdr:sp>
    <xdr:clientData/>
  </xdr:twoCellAnchor>
  <xdr:twoCellAnchor>
    <xdr:from>
      <xdr:col>3</xdr:col>
      <xdr:colOff>234950</xdr:colOff>
      <xdr:row>25</xdr:row>
      <xdr:rowOff>6350</xdr:rowOff>
    </xdr:from>
    <xdr:to>
      <xdr:col>11</xdr:col>
      <xdr:colOff>412750</xdr:colOff>
      <xdr:row>35</xdr:row>
      <xdr:rowOff>19050</xdr:rowOff>
    </xdr:to>
    <xdr:sp macro="" textlink="">
      <xdr:nvSpPr>
        <xdr:cNvPr id="19" name="Rectangle 18">
          <a:extLst>
            <a:ext uri="{FF2B5EF4-FFF2-40B4-BE49-F238E27FC236}">
              <a16:creationId xmlns:a16="http://schemas.microsoft.com/office/drawing/2014/main" id="{37CFF2D7-98F0-83BB-DA6C-03512A12C5F0}"/>
            </a:ext>
          </a:extLst>
        </xdr:cNvPr>
        <xdr:cNvSpPr/>
      </xdr:nvSpPr>
      <xdr:spPr>
        <a:xfrm>
          <a:off x="2063750" y="4610100"/>
          <a:ext cx="5054600" cy="1854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Sales for</a:t>
          </a:r>
          <a:r>
            <a:rPr lang="en-IN" sz="1400" b="1" baseline="0"/>
            <a:t> </a:t>
          </a:r>
          <a:r>
            <a:rPr lang="en-IN" sz="1400" b="1"/>
            <a:t>Product</a:t>
          </a:r>
        </a:p>
      </xdr:txBody>
    </xdr:sp>
    <xdr:clientData/>
  </xdr:twoCellAnchor>
  <xdr:twoCellAnchor>
    <xdr:from>
      <xdr:col>11</xdr:col>
      <xdr:colOff>546100</xdr:colOff>
      <xdr:row>15</xdr:row>
      <xdr:rowOff>76200</xdr:rowOff>
    </xdr:from>
    <xdr:to>
      <xdr:col>20</xdr:col>
      <xdr:colOff>101600</xdr:colOff>
      <xdr:row>24</xdr:row>
      <xdr:rowOff>88900</xdr:rowOff>
    </xdr:to>
    <xdr:sp macro="" textlink="">
      <xdr:nvSpPr>
        <xdr:cNvPr id="20" name="Rectangle 19">
          <a:extLst>
            <a:ext uri="{FF2B5EF4-FFF2-40B4-BE49-F238E27FC236}">
              <a16:creationId xmlns:a16="http://schemas.microsoft.com/office/drawing/2014/main" id="{FAF9DB64-E6C7-482A-BB35-B2FD2D8F8AFF}"/>
            </a:ext>
          </a:extLst>
        </xdr:cNvPr>
        <xdr:cNvSpPr/>
      </xdr:nvSpPr>
      <xdr:spPr>
        <a:xfrm>
          <a:off x="7251700" y="2838450"/>
          <a:ext cx="5041900" cy="16700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accent2">
                  <a:lumMod val="75000"/>
                </a:schemeClr>
              </a:solidFill>
              <a:effectLst/>
              <a:latin typeface="+mn-lt"/>
              <a:ea typeface="+mn-ea"/>
              <a:cs typeface="+mn-cs"/>
            </a:rPr>
            <a:t>Sales by Month</a:t>
          </a:r>
          <a:endParaRPr lang="en-IN" sz="1400" b="1">
            <a:solidFill>
              <a:schemeClr val="accent2">
                <a:lumMod val="75000"/>
              </a:schemeClr>
            </a:solidFill>
            <a:effectLst/>
          </a:endParaRPr>
        </a:p>
        <a:p>
          <a:pPr algn="l"/>
          <a:endParaRPr lang="en-IN" sz="1100"/>
        </a:p>
      </xdr:txBody>
    </xdr:sp>
    <xdr:clientData/>
  </xdr:twoCellAnchor>
  <xdr:twoCellAnchor>
    <xdr:from>
      <xdr:col>11</xdr:col>
      <xdr:colOff>527050</xdr:colOff>
      <xdr:row>24</xdr:row>
      <xdr:rowOff>114300</xdr:rowOff>
    </xdr:from>
    <xdr:to>
      <xdr:col>20</xdr:col>
      <xdr:colOff>158750</xdr:colOff>
      <xdr:row>35</xdr:row>
      <xdr:rowOff>6350</xdr:rowOff>
    </xdr:to>
    <xdr:sp macro="" textlink="">
      <xdr:nvSpPr>
        <xdr:cNvPr id="21" name="Rectangle 20">
          <a:extLst>
            <a:ext uri="{FF2B5EF4-FFF2-40B4-BE49-F238E27FC236}">
              <a16:creationId xmlns:a16="http://schemas.microsoft.com/office/drawing/2014/main" id="{CAC5C010-8C3B-4841-B546-D615AEC4DCD0}"/>
            </a:ext>
          </a:extLst>
        </xdr:cNvPr>
        <xdr:cNvSpPr/>
      </xdr:nvSpPr>
      <xdr:spPr>
        <a:xfrm>
          <a:off x="7232650" y="4533900"/>
          <a:ext cx="5118100" cy="19177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accent2">
                  <a:lumMod val="75000"/>
                </a:schemeClr>
              </a:solidFill>
            </a:rPr>
            <a:t>Sales by Places</a:t>
          </a:r>
        </a:p>
      </xdr:txBody>
    </xdr:sp>
    <xdr:clientData/>
  </xdr:twoCellAnchor>
  <xdr:twoCellAnchor>
    <xdr:from>
      <xdr:col>3</xdr:col>
      <xdr:colOff>457200</xdr:colOff>
      <xdr:row>19</xdr:row>
      <xdr:rowOff>158750</xdr:rowOff>
    </xdr:from>
    <xdr:to>
      <xdr:col>7</xdr:col>
      <xdr:colOff>146050</xdr:colOff>
      <xdr:row>23</xdr:row>
      <xdr:rowOff>171450</xdr:rowOff>
    </xdr:to>
    <xdr:sp macro="" textlink="">
      <xdr:nvSpPr>
        <xdr:cNvPr id="8" name="Rectangle: Rounded Corners 7">
          <a:extLst>
            <a:ext uri="{FF2B5EF4-FFF2-40B4-BE49-F238E27FC236}">
              <a16:creationId xmlns:a16="http://schemas.microsoft.com/office/drawing/2014/main" id="{812EF9EF-D06E-495A-A914-FFA5A8FE2E47}"/>
            </a:ext>
          </a:extLst>
        </xdr:cNvPr>
        <xdr:cNvSpPr/>
      </xdr:nvSpPr>
      <xdr:spPr>
        <a:xfrm>
          <a:off x="2286000" y="3657600"/>
          <a:ext cx="2127250" cy="749300"/>
        </a:xfrm>
        <a:prstGeom prst="roundRect">
          <a:avLst>
            <a:gd name="adj" fmla="val 3192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444500</xdr:colOff>
      <xdr:row>20</xdr:row>
      <xdr:rowOff>6350</xdr:rowOff>
    </xdr:from>
    <xdr:to>
      <xdr:col>6</xdr:col>
      <xdr:colOff>488950</xdr:colOff>
      <xdr:row>21</xdr:row>
      <xdr:rowOff>171450</xdr:rowOff>
    </xdr:to>
    <xdr:sp macro="" textlink="">
      <xdr:nvSpPr>
        <xdr:cNvPr id="17" name="Rectangle 16">
          <a:extLst>
            <a:ext uri="{FF2B5EF4-FFF2-40B4-BE49-F238E27FC236}">
              <a16:creationId xmlns:a16="http://schemas.microsoft.com/office/drawing/2014/main" id="{069828D6-4C53-4DC0-8B72-BAA8C7AC7A2A}"/>
            </a:ext>
          </a:extLst>
        </xdr:cNvPr>
        <xdr:cNvSpPr/>
      </xdr:nvSpPr>
      <xdr:spPr>
        <a:xfrm>
          <a:off x="2273300" y="3689350"/>
          <a:ext cx="1873250" cy="3492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2">
                  <a:lumMod val="75000"/>
                  <a:lumOff val="25000"/>
                </a:schemeClr>
              </a:solidFill>
            </a:rPr>
            <a:t>Total amount</a:t>
          </a:r>
        </a:p>
        <a:p>
          <a:pPr algn="l"/>
          <a:endParaRPr lang="en-IN" sz="2000"/>
        </a:p>
      </xdr:txBody>
    </xdr:sp>
    <xdr:clientData/>
  </xdr:twoCellAnchor>
  <xdr:twoCellAnchor editAs="oneCell">
    <xdr:from>
      <xdr:col>3</xdr:col>
      <xdr:colOff>139700</xdr:colOff>
      <xdr:row>0</xdr:row>
      <xdr:rowOff>44450</xdr:rowOff>
    </xdr:from>
    <xdr:to>
      <xdr:col>13</xdr:col>
      <xdr:colOff>95250</xdr:colOff>
      <xdr:row>10</xdr:row>
      <xdr:rowOff>19050</xdr:rowOff>
    </xdr:to>
    <mc:AlternateContent xmlns:mc="http://schemas.openxmlformats.org/markup-compatibility/2006" xmlns:tsle="http://schemas.microsoft.com/office/drawing/2012/timeslicer">
      <mc:Choice Requires="tsle">
        <xdr:graphicFrame macro="">
          <xdr:nvGraphicFramePr>
            <xdr:cNvPr id="25" name="Date 1">
              <a:extLst>
                <a:ext uri="{FF2B5EF4-FFF2-40B4-BE49-F238E27FC236}">
                  <a16:creationId xmlns:a16="http://schemas.microsoft.com/office/drawing/2014/main" id="{D952F7B3-06C9-48F9-9F8C-EE5A732625A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968500" y="44450"/>
              <a:ext cx="6051550" cy="1816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139700</xdr:colOff>
      <xdr:row>10</xdr:row>
      <xdr:rowOff>31750</xdr:rowOff>
    </xdr:from>
    <xdr:to>
      <xdr:col>19</xdr:col>
      <xdr:colOff>355600</xdr:colOff>
      <xdr:row>14</xdr:row>
      <xdr:rowOff>44450</xdr:rowOff>
    </xdr:to>
    <mc:AlternateContent xmlns:mc="http://schemas.openxmlformats.org/markup-compatibility/2006" xmlns:a14="http://schemas.microsoft.com/office/drawing/2010/main">
      <mc:Choice Requires="a14">
        <xdr:graphicFrame macro="">
          <xdr:nvGraphicFramePr>
            <xdr:cNvPr id="26" name="Products 2">
              <a:extLst>
                <a:ext uri="{FF2B5EF4-FFF2-40B4-BE49-F238E27FC236}">
                  <a16:creationId xmlns:a16="http://schemas.microsoft.com/office/drawing/2014/main" id="{76646FF7-E25D-47E2-9B0C-404B21CA8476}"/>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1968500" y="1873250"/>
              <a:ext cx="9969500" cy="74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114300</xdr:colOff>
      <xdr:row>0</xdr:row>
      <xdr:rowOff>133350</xdr:rowOff>
    </xdr:from>
    <xdr:to>
      <xdr:col>19</xdr:col>
      <xdr:colOff>330200</xdr:colOff>
      <xdr:row>9</xdr:row>
      <xdr:rowOff>171450</xdr:rowOff>
    </xdr:to>
    <mc:AlternateContent xmlns:mc="http://schemas.openxmlformats.org/markup-compatibility/2006">
      <mc:Choice xmlns:a14="http://schemas.microsoft.com/office/drawing/2010/main" Requires="a14">
        <xdr:graphicFrame macro="">
          <xdr:nvGraphicFramePr>
            <xdr:cNvPr id="27" name="Place 3">
              <a:extLst>
                <a:ext uri="{FF2B5EF4-FFF2-40B4-BE49-F238E27FC236}">
                  <a16:creationId xmlns:a16="http://schemas.microsoft.com/office/drawing/2014/main" id="{2FF97766-75EE-400B-B166-25597CC80A96}"/>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dr:sp macro="" textlink="">
          <xdr:nvSpPr>
            <xdr:cNvPr id="0" name=""/>
            <xdr:cNvSpPr>
              <a:spLocks noTextEdit="1"/>
            </xdr:cNvSpPr>
          </xdr:nvSpPr>
          <xdr:spPr>
            <a:xfrm>
              <a:off x="8039100" y="133350"/>
              <a:ext cx="387350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95250</xdr:colOff>
      <xdr:row>20</xdr:row>
      <xdr:rowOff>50800</xdr:rowOff>
    </xdr:from>
    <xdr:to>
      <xdr:col>10</xdr:col>
      <xdr:colOff>50800</xdr:colOff>
      <xdr:row>22</xdr:row>
      <xdr:rowOff>146050</xdr:rowOff>
    </xdr:to>
    <xdr:sp macro="" textlink="">
      <xdr:nvSpPr>
        <xdr:cNvPr id="36" name="Rectangle 35">
          <a:extLst>
            <a:ext uri="{FF2B5EF4-FFF2-40B4-BE49-F238E27FC236}">
              <a16:creationId xmlns:a16="http://schemas.microsoft.com/office/drawing/2014/main" id="{F16AC196-7582-4D1D-9DEF-8E6215AEEBE4}"/>
            </a:ext>
          </a:extLst>
        </xdr:cNvPr>
        <xdr:cNvSpPr/>
      </xdr:nvSpPr>
      <xdr:spPr>
        <a:xfrm>
          <a:off x="4972050" y="3733800"/>
          <a:ext cx="1174750" cy="463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2">
                  <a:lumMod val="75000"/>
                  <a:lumOff val="25000"/>
                </a:schemeClr>
              </a:solidFill>
            </a:rPr>
            <a:t>Sales</a:t>
          </a:r>
        </a:p>
        <a:p>
          <a:pPr algn="l"/>
          <a:endParaRPr lang="en-IN" sz="2000" b="1">
            <a:solidFill>
              <a:schemeClr val="tx2">
                <a:lumMod val="75000"/>
                <a:lumOff val="25000"/>
              </a:schemeClr>
            </a:solidFill>
          </a:endParaRPr>
        </a:p>
        <a:p>
          <a:pPr algn="l"/>
          <a:endParaRPr lang="en-IN" sz="2000"/>
        </a:p>
      </xdr:txBody>
    </xdr:sp>
    <xdr:clientData/>
  </xdr:twoCellAnchor>
  <xdr:twoCellAnchor>
    <xdr:from>
      <xdr:col>12</xdr:col>
      <xdr:colOff>57150</xdr:colOff>
      <xdr:row>17</xdr:row>
      <xdr:rowOff>6350</xdr:rowOff>
    </xdr:from>
    <xdr:to>
      <xdr:col>18</xdr:col>
      <xdr:colOff>577850</xdr:colOff>
      <xdr:row>24</xdr:row>
      <xdr:rowOff>12700</xdr:rowOff>
    </xdr:to>
    <xdr:graphicFrame macro="">
      <xdr:nvGraphicFramePr>
        <xdr:cNvPr id="38" name="Chart 37">
          <a:extLst>
            <a:ext uri="{FF2B5EF4-FFF2-40B4-BE49-F238E27FC236}">
              <a16:creationId xmlns:a16="http://schemas.microsoft.com/office/drawing/2014/main" id="{1B6645A6-D2AD-48B6-8E0F-50F4ED8C2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69850</xdr:colOff>
      <xdr:row>26</xdr:row>
      <xdr:rowOff>19050</xdr:rowOff>
    </xdr:from>
    <xdr:to>
      <xdr:col>19</xdr:col>
      <xdr:colOff>292100</xdr:colOff>
      <xdr:row>35</xdr:row>
      <xdr:rowOff>0</xdr:rowOff>
    </xdr:to>
    <xdr:graphicFrame macro="">
      <xdr:nvGraphicFramePr>
        <xdr:cNvPr id="39" name="Chart 38">
          <a:extLst>
            <a:ext uri="{FF2B5EF4-FFF2-40B4-BE49-F238E27FC236}">
              <a16:creationId xmlns:a16="http://schemas.microsoft.com/office/drawing/2014/main" id="{D0EC3885-BEAB-4658-AF90-35DD6C488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469900</xdr:colOff>
      <xdr:row>26</xdr:row>
      <xdr:rowOff>127000</xdr:rowOff>
    </xdr:from>
    <xdr:to>
      <xdr:col>10</xdr:col>
      <xdr:colOff>590550</xdr:colOff>
      <xdr:row>34</xdr:row>
      <xdr:rowOff>120650</xdr:rowOff>
    </xdr:to>
    <xdr:graphicFrame macro="">
      <xdr:nvGraphicFramePr>
        <xdr:cNvPr id="4" name="Chart 3">
          <a:extLst>
            <a:ext uri="{FF2B5EF4-FFF2-40B4-BE49-F238E27FC236}">
              <a16:creationId xmlns:a16="http://schemas.microsoft.com/office/drawing/2014/main" id="{0B4FBFFD-3B31-48BA-9BFB-4F140EFD2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222250</xdr:colOff>
      <xdr:row>22</xdr:row>
      <xdr:rowOff>12700</xdr:rowOff>
    </xdr:from>
    <xdr:to>
      <xdr:col>10</xdr:col>
      <xdr:colOff>260350</xdr:colOff>
      <xdr:row>23</xdr:row>
      <xdr:rowOff>158750</xdr:rowOff>
    </xdr:to>
    <xdr:sp macro="" textlink="'Pivot Table'!B62">
      <xdr:nvSpPr>
        <xdr:cNvPr id="37" name="Rectangle 36">
          <a:extLst>
            <a:ext uri="{FF2B5EF4-FFF2-40B4-BE49-F238E27FC236}">
              <a16:creationId xmlns:a16="http://schemas.microsoft.com/office/drawing/2014/main" id="{77891166-BFE5-4775-AC0C-3ECE0209BFAD}"/>
            </a:ext>
          </a:extLst>
        </xdr:cNvPr>
        <xdr:cNvSpPr/>
      </xdr:nvSpPr>
      <xdr:spPr>
        <a:xfrm>
          <a:off x="5099050" y="4064000"/>
          <a:ext cx="1257300" cy="3302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A58A243-FF1E-4F24-B6C1-ED74695AE985}" type="TxLink">
            <a:rPr lang="en-US" sz="1600" b="0" i="0" u="none" strike="noStrike">
              <a:solidFill>
                <a:schemeClr val="accent1">
                  <a:lumMod val="60000"/>
                  <a:lumOff val="40000"/>
                </a:schemeClr>
              </a:solidFill>
              <a:latin typeface="Calibri"/>
              <a:ea typeface="Calibri"/>
              <a:cs typeface="Calibri"/>
            </a:rPr>
            <a:t> </a:t>
          </a:fld>
          <a:endParaRPr lang="en-IN" sz="1600" b="1">
            <a:solidFill>
              <a:schemeClr val="accent1">
                <a:lumMod val="60000"/>
                <a:lumOff val="40000"/>
              </a:schemeClr>
            </a:solidFill>
          </a:endParaRPr>
        </a:p>
      </xdr:txBody>
    </xdr:sp>
    <xdr:clientData/>
  </xdr:twoCellAnchor>
  <xdr:twoCellAnchor>
    <xdr:from>
      <xdr:col>4</xdr:col>
      <xdr:colOff>63500</xdr:colOff>
      <xdr:row>21</xdr:row>
      <xdr:rowOff>114300</xdr:rowOff>
    </xdr:from>
    <xdr:to>
      <xdr:col>6</xdr:col>
      <xdr:colOff>50800</xdr:colOff>
      <xdr:row>23</xdr:row>
      <xdr:rowOff>139700</xdr:rowOff>
    </xdr:to>
    <xdr:sp macro="" textlink="'Pivot Table'!C58">
      <xdr:nvSpPr>
        <xdr:cNvPr id="41" name="Rectangle 40">
          <a:extLst>
            <a:ext uri="{FF2B5EF4-FFF2-40B4-BE49-F238E27FC236}">
              <a16:creationId xmlns:a16="http://schemas.microsoft.com/office/drawing/2014/main" id="{9D686E46-70C8-44C4-8457-B99B74BA0001}"/>
            </a:ext>
          </a:extLst>
        </xdr:cNvPr>
        <xdr:cNvSpPr/>
      </xdr:nvSpPr>
      <xdr:spPr>
        <a:xfrm>
          <a:off x="2501900" y="3981450"/>
          <a:ext cx="1206500" cy="3937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F171FBB-5F93-4F0D-9CF5-6A7F1BF2C93B}" type="TxLink">
            <a:rPr lang="en-US" sz="1600" b="1" i="0" u="none" strike="noStrike">
              <a:solidFill>
                <a:srgbClr val="000000"/>
              </a:solidFill>
              <a:latin typeface="Calibri"/>
              <a:ea typeface="Calibri"/>
              <a:cs typeface="Calibri"/>
            </a:rPr>
            <a:t>11,87,31,893</a:t>
          </a:fld>
          <a:endParaRPr lang="en-IN" sz="1600" b="1">
            <a:solidFill>
              <a:schemeClr val="accent1">
                <a:lumMod val="60000"/>
                <a:lumOff val="40000"/>
              </a:schemeClr>
            </a:solidFill>
          </a:endParaRPr>
        </a:p>
      </xdr:txBody>
    </xdr:sp>
    <xdr:clientData/>
  </xdr:twoCellAnchor>
  <xdr:twoCellAnchor>
    <xdr:from>
      <xdr:col>8</xdr:col>
      <xdr:colOff>215900</xdr:colOff>
      <xdr:row>21</xdr:row>
      <xdr:rowOff>146050</xdr:rowOff>
    </xdr:from>
    <xdr:to>
      <xdr:col>10</xdr:col>
      <xdr:colOff>38100</xdr:colOff>
      <xdr:row>23</xdr:row>
      <xdr:rowOff>171450</xdr:rowOff>
    </xdr:to>
    <xdr:sp macro="" textlink="'Pivot Table'!C62">
      <xdr:nvSpPr>
        <xdr:cNvPr id="42" name="Rectangle 41">
          <a:extLst>
            <a:ext uri="{FF2B5EF4-FFF2-40B4-BE49-F238E27FC236}">
              <a16:creationId xmlns:a16="http://schemas.microsoft.com/office/drawing/2014/main" id="{A592D4D2-4325-4908-9BC5-4A92A1CFD66E}"/>
            </a:ext>
          </a:extLst>
        </xdr:cNvPr>
        <xdr:cNvSpPr/>
      </xdr:nvSpPr>
      <xdr:spPr>
        <a:xfrm>
          <a:off x="5092700" y="4013200"/>
          <a:ext cx="1041400" cy="3937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5B7538DD-003D-46DC-86B6-F35C7CB5590B}" type="TxLink">
            <a:rPr lang="en-US" sz="1600" b="1" i="0" u="none" strike="noStrike">
              <a:solidFill>
                <a:srgbClr val="000000"/>
              </a:solidFill>
              <a:latin typeface="Calibri"/>
              <a:ea typeface="Calibri"/>
              <a:cs typeface="Calibri"/>
            </a:rPr>
            <a:t>278</a:t>
          </a:fld>
          <a:endParaRPr lang="en-IN" sz="1600" b="1">
            <a:solidFill>
              <a:schemeClr val="accent1">
                <a:lumMod val="60000"/>
                <a:lumOff val="4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381000</xdr:colOff>
      <xdr:row>0</xdr:row>
      <xdr:rowOff>133350</xdr:rowOff>
    </xdr:from>
    <xdr:to>
      <xdr:col>9</xdr:col>
      <xdr:colOff>31750</xdr:colOff>
      <xdr:row>14</xdr:row>
      <xdr:rowOff>177800</xdr:rowOff>
    </xdr:to>
    <xdr:graphicFrame macro="">
      <xdr:nvGraphicFramePr>
        <xdr:cNvPr id="15" name="Chart 14">
          <a:extLst>
            <a:ext uri="{FF2B5EF4-FFF2-40B4-BE49-F238E27FC236}">
              <a16:creationId xmlns:a16="http://schemas.microsoft.com/office/drawing/2014/main" id="{D546D912-D9C4-C046-53A1-A7E00DF6E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298450</xdr:colOff>
      <xdr:row>17</xdr:row>
      <xdr:rowOff>6350</xdr:rowOff>
    </xdr:from>
    <xdr:to>
      <xdr:col>9</xdr:col>
      <xdr:colOff>222250</xdr:colOff>
      <xdr:row>31</xdr:row>
      <xdr:rowOff>171450</xdr:rowOff>
    </xdr:to>
    <xdr:graphicFrame macro="">
      <xdr:nvGraphicFramePr>
        <xdr:cNvPr id="16" name="Chart 15">
          <a:extLst>
            <a:ext uri="{FF2B5EF4-FFF2-40B4-BE49-F238E27FC236}">
              <a16:creationId xmlns:a16="http://schemas.microsoft.com/office/drawing/2014/main" id="{00813133-47AD-2546-3BD1-4227A8201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628650</xdr:colOff>
      <xdr:row>35</xdr:row>
      <xdr:rowOff>31750</xdr:rowOff>
    </xdr:from>
    <xdr:to>
      <xdr:col>9</xdr:col>
      <xdr:colOff>552450</xdr:colOff>
      <xdr:row>50</xdr:row>
      <xdr:rowOff>12700</xdr:rowOff>
    </xdr:to>
    <xdr:graphicFrame macro="">
      <xdr:nvGraphicFramePr>
        <xdr:cNvPr id="2" name="Chart 1">
          <a:extLst>
            <a:ext uri="{FF2B5EF4-FFF2-40B4-BE49-F238E27FC236}">
              <a16:creationId xmlns:a16="http://schemas.microsoft.com/office/drawing/2014/main" id="{A440253A-26A0-6D56-2F93-E4AF71146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231775</xdr:colOff>
      <xdr:row>51</xdr:row>
      <xdr:rowOff>139700</xdr:rowOff>
    </xdr:from>
    <xdr:to>
      <xdr:col>10</xdr:col>
      <xdr:colOff>346075</xdr:colOff>
      <xdr:row>66</xdr:row>
      <xdr:rowOff>120650</xdr:rowOff>
    </xdr:to>
    <xdr:graphicFrame macro="">
      <xdr:nvGraphicFramePr>
        <xdr:cNvPr id="4" name="Chart 3">
          <a:extLst>
            <a:ext uri="{FF2B5EF4-FFF2-40B4-BE49-F238E27FC236}">
              <a16:creationId xmlns:a16="http://schemas.microsoft.com/office/drawing/2014/main" id="{2F60D9E7-4F13-C8FD-A964-4970CA72D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581025</xdr:colOff>
      <xdr:row>51</xdr:row>
      <xdr:rowOff>146050</xdr:rowOff>
    </xdr:from>
    <xdr:to>
      <xdr:col>18</xdr:col>
      <xdr:colOff>276225</xdr:colOff>
      <xdr:row>66</xdr:row>
      <xdr:rowOff>127000</xdr:rowOff>
    </xdr:to>
    <xdr:graphicFrame macro="">
      <xdr:nvGraphicFramePr>
        <xdr:cNvPr id="5" name="Chart 4">
          <a:extLst>
            <a:ext uri="{FF2B5EF4-FFF2-40B4-BE49-F238E27FC236}">
              <a16:creationId xmlns:a16="http://schemas.microsoft.com/office/drawing/2014/main" id="{547C7922-47F8-85FD-AC4E-39007774C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323850</xdr:colOff>
      <xdr:row>69</xdr:row>
      <xdr:rowOff>44450</xdr:rowOff>
    </xdr:from>
    <xdr:to>
      <xdr:col>10</xdr:col>
      <xdr:colOff>438150</xdr:colOff>
      <xdr:row>84</xdr:row>
      <xdr:rowOff>25400</xdr:rowOff>
    </xdr:to>
    <xdr:graphicFrame macro="">
      <xdr:nvGraphicFramePr>
        <xdr:cNvPr id="12" name="Chart 11">
          <a:extLst>
            <a:ext uri="{FF2B5EF4-FFF2-40B4-BE49-F238E27FC236}">
              <a16:creationId xmlns:a16="http://schemas.microsoft.com/office/drawing/2014/main" id="{07D7518B-8003-FDAB-C11D-D419F6EAC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206375</xdr:colOff>
      <xdr:row>85</xdr:row>
      <xdr:rowOff>6350</xdr:rowOff>
    </xdr:from>
    <xdr:to>
      <xdr:col>11</xdr:col>
      <xdr:colOff>511175</xdr:colOff>
      <xdr:row>95</xdr:row>
      <xdr:rowOff>0</xdr:rowOff>
    </xdr:to>
    <xdr:graphicFrame macro="">
      <xdr:nvGraphicFramePr>
        <xdr:cNvPr id="14" name="Chart 13">
          <a:extLst>
            <a:ext uri="{FF2B5EF4-FFF2-40B4-BE49-F238E27FC236}">
              <a16:creationId xmlns:a16="http://schemas.microsoft.com/office/drawing/2014/main" id="{DA6C4F0C-DEAF-48FE-2675-1D7E2805A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111125</xdr:colOff>
      <xdr:row>69</xdr:row>
      <xdr:rowOff>19050</xdr:rowOff>
    </xdr:from>
    <xdr:to>
      <xdr:col>18</xdr:col>
      <xdr:colOff>415925</xdr:colOff>
      <xdr:row>84</xdr:row>
      <xdr:rowOff>0</xdr:rowOff>
    </xdr:to>
    <xdr:graphicFrame macro="">
      <xdr:nvGraphicFramePr>
        <xdr:cNvPr id="17" name="Chart 16">
          <a:extLst>
            <a:ext uri="{FF2B5EF4-FFF2-40B4-BE49-F238E27FC236}">
              <a16:creationId xmlns:a16="http://schemas.microsoft.com/office/drawing/2014/main" id="{F573182D-DE8B-0DE7-14BA-31FEC08CB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558800</xdr:colOff>
      <xdr:row>95</xdr:row>
      <xdr:rowOff>76200</xdr:rowOff>
    </xdr:from>
    <xdr:to>
      <xdr:col>9</xdr:col>
      <xdr:colOff>482600</xdr:colOff>
      <xdr:row>110</xdr:row>
      <xdr:rowOff>57150</xdr:rowOff>
    </xdr:to>
    <xdr:graphicFrame macro="">
      <xdr:nvGraphicFramePr>
        <xdr:cNvPr id="18" name="Chart 17">
          <a:extLst>
            <a:ext uri="{FF2B5EF4-FFF2-40B4-BE49-F238E27FC236}">
              <a16:creationId xmlns:a16="http://schemas.microsoft.com/office/drawing/2014/main" id="{EF81FED4-68B0-0B61-BAA0-BB2DBD059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708025</xdr:colOff>
      <xdr:row>111</xdr:row>
      <xdr:rowOff>114300</xdr:rowOff>
    </xdr:from>
    <xdr:to>
      <xdr:col>10</xdr:col>
      <xdr:colOff>22225</xdr:colOff>
      <xdr:row>126</xdr:row>
      <xdr:rowOff>95250</xdr:rowOff>
    </xdr:to>
    <xdr:graphicFrame macro="">
      <xdr:nvGraphicFramePr>
        <xdr:cNvPr id="19" name="Chart 18">
          <a:extLst>
            <a:ext uri="{FF2B5EF4-FFF2-40B4-BE49-F238E27FC236}">
              <a16:creationId xmlns:a16="http://schemas.microsoft.com/office/drawing/2014/main" id="{AB1602A2-0019-9F5E-DCA7-D77D72407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266700</xdr:colOff>
      <xdr:row>131</xdr:row>
      <xdr:rowOff>152400</xdr:rowOff>
    </xdr:from>
    <xdr:to>
      <xdr:col>10</xdr:col>
      <xdr:colOff>381000</xdr:colOff>
      <xdr:row>146</xdr:row>
      <xdr:rowOff>133350</xdr:rowOff>
    </xdr:to>
    <xdr:graphicFrame macro="">
      <xdr:nvGraphicFramePr>
        <xdr:cNvPr id="20" name="Chart 19">
          <a:extLst>
            <a:ext uri="{FF2B5EF4-FFF2-40B4-BE49-F238E27FC236}">
              <a16:creationId xmlns:a16="http://schemas.microsoft.com/office/drawing/2014/main" id="{9CB4BE12-8640-A47F-4B4F-F50890073E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 refreshedDate="46180.509683796299" createdVersion="8" refreshedVersion="8" minRefreshableVersion="3" recordCount="278" xr:uid="{A266ECF3-9894-4FB3-B21A-1921323D7BFC}">
  <cacheSource type="worksheet">
    <worksheetSource ref="A1:G279" sheet="maindata"/>
  </cacheSource>
  <cacheFields count="10">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9"/>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acheField>
    <cacheField name="Months (Date)" numFmtId="0" databaseField="0">
      <fieldGroup base="0">
        <rangePr groupBy="months" startDate="2020-01-01T00:00:00" endDate="2022-12-31T00:00:00"/>
        <groupItems count="14">
          <s v="&lt;01-01-2020"/>
          <s v="Jan"/>
          <s v="Feb"/>
          <s v="Mar"/>
          <s v="Apr"/>
          <s v="May"/>
          <s v="Jun"/>
          <s v="Jul"/>
          <s v="Aug"/>
          <s v="Sep"/>
          <s v="Oct"/>
          <s v="Nov"/>
          <s v="Dec"/>
          <s v="&gt;31-12-2022"/>
        </groupItems>
      </fieldGroup>
    </cacheField>
    <cacheField name="Quarters (Date)" numFmtId="0" databaseField="0">
      <fieldGroup base="0">
        <rangePr groupBy="quarters" startDate="2020-01-01T00:00:00" endDate="2022-12-31T00:00:00"/>
        <groupItems count="6">
          <s v="&lt;01-01-2020"/>
          <s v="Qtr1"/>
          <s v="Qtr2"/>
          <s v="Qtr3"/>
          <s v="Qtr4"/>
          <s v="&gt;31-12-2022"/>
        </groupItems>
      </fieldGroup>
    </cacheField>
    <cacheField name="Years (Date)" numFmtId="0" databaseField="0">
      <fieldGroup base="0">
        <rangePr groupBy="years" startDate="2020-01-01T00:00:00" endDate="2022-12-31T00:00:00"/>
        <groupItems count="5">
          <s v="&lt;01-01-2020"/>
          <s v="2020"/>
          <s v="2021"/>
          <s v="2022"/>
          <s v="&gt;31-12-2022"/>
        </groupItems>
      </fieldGroup>
    </cacheField>
  </cacheFields>
  <extLst>
    <ext xmlns:x14="http://schemas.microsoft.com/office/spreadsheetml/2009/9/main" uri="{725AE2AE-9491-48be-B2B4-4EB974FC3084}">
      <x14:pivotCacheDefinition pivotCacheId="18102464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x v="0"/>
    <x v="0"/>
    <n v="499"/>
    <n v="50"/>
    <n v="24950"/>
  </r>
  <r>
    <x v="1"/>
    <x v="1"/>
    <x v="0"/>
    <x v="1"/>
    <n v="5599"/>
    <n v="33"/>
    <n v="184767"/>
  </r>
  <r>
    <x v="2"/>
    <x v="2"/>
    <x v="1"/>
    <x v="2"/>
    <n v="1450"/>
    <n v="44"/>
    <n v="63800"/>
  </r>
  <r>
    <x v="3"/>
    <x v="3"/>
    <x v="2"/>
    <x v="0"/>
    <n v="85000"/>
    <n v="50"/>
    <n v="4250000"/>
  </r>
  <r>
    <x v="4"/>
    <x v="3"/>
    <x v="3"/>
    <x v="3"/>
    <n v="15000"/>
    <n v="11"/>
    <n v="165000"/>
  </r>
  <r>
    <x v="5"/>
    <x v="1"/>
    <x v="0"/>
    <x v="3"/>
    <n v="2550"/>
    <n v="48"/>
    <n v="122400"/>
  </r>
  <r>
    <x v="6"/>
    <x v="4"/>
    <x v="4"/>
    <x v="2"/>
    <n v="33000"/>
    <n v="26"/>
    <n v="858000"/>
  </r>
  <r>
    <x v="7"/>
    <x v="0"/>
    <x v="2"/>
    <x v="4"/>
    <n v="86000"/>
    <n v="39"/>
    <n v="3354000"/>
  </r>
  <r>
    <x v="8"/>
    <x v="2"/>
    <x v="5"/>
    <x v="3"/>
    <n v="990"/>
    <n v="9"/>
    <n v="8910"/>
  </r>
  <r>
    <x v="9"/>
    <x v="0"/>
    <x v="0"/>
    <x v="0"/>
    <n v="5599"/>
    <n v="41"/>
    <n v="229559"/>
  </r>
  <r>
    <x v="10"/>
    <x v="4"/>
    <x v="4"/>
    <x v="2"/>
    <n v="499"/>
    <n v="39"/>
    <n v="19461"/>
  </r>
  <r>
    <x v="11"/>
    <x v="1"/>
    <x v="5"/>
    <x v="0"/>
    <n v="1999"/>
    <n v="4"/>
    <n v="7996"/>
  </r>
  <r>
    <x v="12"/>
    <x v="3"/>
    <x v="2"/>
    <x v="0"/>
    <n v="63400"/>
    <n v="8"/>
    <n v="507200"/>
  </r>
  <r>
    <x v="13"/>
    <x v="5"/>
    <x v="5"/>
    <x v="3"/>
    <n v="1499"/>
    <n v="27"/>
    <n v="40473"/>
  </r>
  <r>
    <x v="14"/>
    <x v="3"/>
    <x v="3"/>
    <x v="2"/>
    <n v="120"/>
    <n v="10"/>
    <n v="1200"/>
  </r>
  <r>
    <x v="15"/>
    <x v="1"/>
    <x v="4"/>
    <x v="4"/>
    <n v="11999"/>
    <n v="17"/>
    <n v="203983"/>
  </r>
  <r>
    <x v="16"/>
    <x v="2"/>
    <x v="2"/>
    <x v="1"/>
    <n v="47500"/>
    <n v="27"/>
    <n v="1282500"/>
  </r>
  <r>
    <x v="17"/>
    <x v="4"/>
    <x v="4"/>
    <x v="1"/>
    <n v="2999"/>
    <n v="43"/>
    <n v="128957"/>
  </r>
  <r>
    <x v="18"/>
    <x v="3"/>
    <x v="3"/>
    <x v="1"/>
    <n v="8900"/>
    <n v="9"/>
    <n v="80100"/>
  </r>
  <r>
    <x v="19"/>
    <x v="1"/>
    <x v="4"/>
    <x v="0"/>
    <n v="22000"/>
    <n v="42"/>
    <n v="924000"/>
  </r>
  <r>
    <x v="20"/>
    <x v="2"/>
    <x v="1"/>
    <x v="1"/>
    <n v="1250"/>
    <n v="6"/>
    <n v="7500"/>
  </r>
  <r>
    <x v="21"/>
    <x v="3"/>
    <x v="3"/>
    <x v="3"/>
    <n v="999"/>
    <n v="28"/>
    <n v="27972"/>
  </r>
  <r>
    <x v="22"/>
    <x v="4"/>
    <x v="1"/>
    <x v="4"/>
    <n v="1450"/>
    <n v="13"/>
    <n v="18850"/>
  </r>
  <r>
    <x v="23"/>
    <x v="4"/>
    <x v="1"/>
    <x v="2"/>
    <n v="23999"/>
    <n v="8"/>
    <n v="191992"/>
  </r>
  <r>
    <x v="24"/>
    <x v="1"/>
    <x v="2"/>
    <x v="4"/>
    <n v="65200"/>
    <n v="7"/>
    <n v="456400"/>
  </r>
  <r>
    <x v="25"/>
    <x v="1"/>
    <x v="5"/>
    <x v="1"/>
    <n v="699"/>
    <n v="45"/>
    <n v="31455"/>
  </r>
  <r>
    <x v="26"/>
    <x v="0"/>
    <x v="0"/>
    <x v="0"/>
    <n v="2550"/>
    <n v="22"/>
    <n v="56100"/>
  </r>
  <r>
    <x v="27"/>
    <x v="2"/>
    <x v="4"/>
    <x v="4"/>
    <n v="22000"/>
    <n v="4"/>
    <n v="88000"/>
  </r>
  <r>
    <x v="28"/>
    <x v="4"/>
    <x v="2"/>
    <x v="0"/>
    <n v="22000"/>
    <n v="10"/>
    <n v="220000"/>
  </r>
  <r>
    <x v="29"/>
    <x v="5"/>
    <x v="5"/>
    <x v="3"/>
    <n v="1499"/>
    <n v="16"/>
    <n v="23984"/>
  </r>
  <r>
    <x v="30"/>
    <x v="1"/>
    <x v="3"/>
    <x v="4"/>
    <n v="120"/>
    <n v="22"/>
    <n v="2640"/>
  </r>
  <r>
    <x v="31"/>
    <x v="0"/>
    <x v="0"/>
    <x v="2"/>
    <n v="1450"/>
    <n v="20"/>
    <n v="29000"/>
  </r>
  <r>
    <x v="32"/>
    <x v="5"/>
    <x v="5"/>
    <x v="3"/>
    <n v="1999"/>
    <n v="23"/>
    <n v="45977"/>
  </r>
  <r>
    <x v="33"/>
    <x v="1"/>
    <x v="0"/>
    <x v="0"/>
    <n v="800"/>
    <n v="43"/>
    <n v="34400"/>
  </r>
  <r>
    <x v="34"/>
    <x v="2"/>
    <x v="3"/>
    <x v="3"/>
    <n v="18000"/>
    <n v="41"/>
    <n v="738000"/>
  </r>
  <r>
    <x v="35"/>
    <x v="0"/>
    <x v="0"/>
    <x v="1"/>
    <n v="13999"/>
    <n v="37"/>
    <n v="517963"/>
  </r>
  <r>
    <x v="36"/>
    <x v="1"/>
    <x v="4"/>
    <x v="3"/>
    <n v="22000"/>
    <n v="45"/>
    <n v="990000"/>
  </r>
  <r>
    <x v="37"/>
    <x v="4"/>
    <x v="2"/>
    <x v="0"/>
    <n v="89999"/>
    <n v="15"/>
    <n v="1349985"/>
  </r>
  <r>
    <x v="38"/>
    <x v="0"/>
    <x v="0"/>
    <x v="2"/>
    <n v="13999"/>
    <n v="22"/>
    <n v="307978"/>
  </r>
  <r>
    <x v="39"/>
    <x v="2"/>
    <x v="5"/>
    <x v="1"/>
    <n v="2900"/>
    <n v="20"/>
    <n v="58000"/>
  </r>
  <r>
    <x v="40"/>
    <x v="1"/>
    <x v="4"/>
    <x v="3"/>
    <n v="33000"/>
    <n v="16"/>
    <n v="528000"/>
  </r>
  <r>
    <x v="41"/>
    <x v="2"/>
    <x v="4"/>
    <x v="1"/>
    <n v="22000"/>
    <n v="17"/>
    <n v="374000"/>
  </r>
  <r>
    <x v="42"/>
    <x v="5"/>
    <x v="5"/>
    <x v="1"/>
    <n v="699"/>
    <n v="50"/>
    <n v="34950"/>
  </r>
  <r>
    <x v="43"/>
    <x v="4"/>
    <x v="4"/>
    <x v="2"/>
    <n v="499"/>
    <n v="4"/>
    <n v="1996"/>
  </r>
  <r>
    <x v="44"/>
    <x v="1"/>
    <x v="5"/>
    <x v="3"/>
    <n v="590"/>
    <n v="43"/>
    <n v="25370"/>
  </r>
  <r>
    <x v="45"/>
    <x v="5"/>
    <x v="5"/>
    <x v="1"/>
    <n v="590"/>
    <n v="42"/>
    <n v="24780"/>
  </r>
  <r>
    <x v="46"/>
    <x v="1"/>
    <x v="2"/>
    <x v="0"/>
    <n v="120"/>
    <n v="9"/>
    <n v="1080"/>
  </r>
  <r>
    <x v="47"/>
    <x v="4"/>
    <x v="4"/>
    <x v="4"/>
    <n v="52000"/>
    <n v="40"/>
    <n v="2080000"/>
  </r>
  <r>
    <x v="48"/>
    <x v="2"/>
    <x v="1"/>
    <x v="3"/>
    <n v="7999"/>
    <n v="14"/>
    <n v="111986"/>
  </r>
  <r>
    <x v="49"/>
    <x v="1"/>
    <x v="1"/>
    <x v="4"/>
    <n v="550"/>
    <n v="9"/>
    <n v="4950"/>
  </r>
  <r>
    <x v="50"/>
    <x v="2"/>
    <x v="2"/>
    <x v="3"/>
    <n v="79999"/>
    <n v="10"/>
    <n v="799990"/>
  </r>
  <r>
    <x v="51"/>
    <x v="5"/>
    <x v="5"/>
    <x v="3"/>
    <n v="1999"/>
    <n v="37"/>
    <n v="73963"/>
  </r>
  <r>
    <x v="52"/>
    <x v="4"/>
    <x v="4"/>
    <x v="2"/>
    <n v="89999"/>
    <n v="29"/>
    <n v="2609971"/>
  </r>
  <r>
    <x v="53"/>
    <x v="1"/>
    <x v="2"/>
    <x v="3"/>
    <n v="78500"/>
    <n v="44"/>
    <n v="3454000"/>
  </r>
  <r>
    <x v="54"/>
    <x v="4"/>
    <x v="4"/>
    <x v="1"/>
    <n v="3990"/>
    <n v="31"/>
    <n v="123690"/>
  </r>
  <r>
    <x v="55"/>
    <x v="2"/>
    <x v="4"/>
    <x v="3"/>
    <n v="52000"/>
    <n v="29"/>
    <n v="1508000"/>
  </r>
  <r>
    <x v="56"/>
    <x v="0"/>
    <x v="2"/>
    <x v="3"/>
    <n v="13999"/>
    <n v="34"/>
    <n v="475966"/>
  </r>
  <r>
    <x v="57"/>
    <x v="1"/>
    <x v="3"/>
    <x v="1"/>
    <n v="120"/>
    <n v="29"/>
    <n v="3480"/>
  </r>
  <r>
    <x v="58"/>
    <x v="4"/>
    <x v="1"/>
    <x v="1"/>
    <n v="23999"/>
    <n v="25"/>
    <n v="599975"/>
  </r>
  <r>
    <x v="59"/>
    <x v="4"/>
    <x v="2"/>
    <x v="3"/>
    <n v="45000"/>
    <n v="31"/>
    <n v="1395000"/>
  </r>
  <r>
    <x v="60"/>
    <x v="1"/>
    <x v="5"/>
    <x v="1"/>
    <n v="450"/>
    <n v="16"/>
    <n v="7200"/>
  </r>
  <r>
    <x v="61"/>
    <x v="3"/>
    <x v="3"/>
    <x v="3"/>
    <n v="65000"/>
    <n v="48"/>
    <n v="3120000"/>
  </r>
  <r>
    <x v="62"/>
    <x v="2"/>
    <x v="2"/>
    <x v="4"/>
    <n v="35600"/>
    <n v="22"/>
    <n v="783200"/>
  </r>
  <r>
    <x v="63"/>
    <x v="5"/>
    <x v="5"/>
    <x v="2"/>
    <n v="699"/>
    <n v="6"/>
    <n v="4194"/>
  </r>
  <r>
    <x v="64"/>
    <x v="1"/>
    <x v="5"/>
    <x v="1"/>
    <n v="990"/>
    <n v="12"/>
    <n v="11880"/>
  </r>
  <r>
    <x v="65"/>
    <x v="5"/>
    <x v="2"/>
    <x v="0"/>
    <n v="450"/>
    <n v="44"/>
    <n v="19800"/>
  </r>
  <r>
    <x v="66"/>
    <x v="5"/>
    <x v="5"/>
    <x v="2"/>
    <n v="1499"/>
    <n v="15"/>
    <n v="22485"/>
  </r>
  <r>
    <x v="67"/>
    <x v="0"/>
    <x v="0"/>
    <x v="4"/>
    <n v="499"/>
    <n v="26"/>
    <n v="12974"/>
  </r>
  <r>
    <x v="68"/>
    <x v="2"/>
    <x v="2"/>
    <x v="4"/>
    <n v="44000"/>
    <n v="16"/>
    <n v="704000"/>
  </r>
  <r>
    <x v="69"/>
    <x v="0"/>
    <x v="0"/>
    <x v="3"/>
    <n v="5599"/>
    <n v="35"/>
    <n v="195965"/>
  </r>
  <r>
    <x v="70"/>
    <x v="3"/>
    <x v="2"/>
    <x v="0"/>
    <n v="54100"/>
    <n v="36"/>
    <n v="1947600"/>
  </r>
  <r>
    <x v="71"/>
    <x v="0"/>
    <x v="0"/>
    <x v="2"/>
    <n v="2550"/>
    <n v="20"/>
    <n v="51000"/>
  </r>
  <r>
    <x v="72"/>
    <x v="1"/>
    <x v="2"/>
    <x v="2"/>
    <n v="1450"/>
    <n v="47"/>
    <n v="68150"/>
  </r>
  <r>
    <x v="73"/>
    <x v="5"/>
    <x v="5"/>
    <x v="3"/>
    <n v="2900"/>
    <n v="6"/>
    <n v="17400"/>
  </r>
  <r>
    <x v="74"/>
    <x v="3"/>
    <x v="2"/>
    <x v="4"/>
    <n v="65200"/>
    <n v="6"/>
    <n v="391200"/>
  </r>
  <r>
    <x v="75"/>
    <x v="1"/>
    <x v="4"/>
    <x v="4"/>
    <n v="52000"/>
    <n v="41"/>
    <n v="2132000"/>
  </r>
  <r>
    <x v="76"/>
    <x v="2"/>
    <x v="2"/>
    <x v="1"/>
    <n v="59000"/>
    <n v="29"/>
    <n v="1711000"/>
  </r>
  <r>
    <x v="77"/>
    <x v="4"/>
    <x v="1"/>
    <x v="4"/>
    <n v="7999"/>
    <n v="31"/>
    <n v="247969"/>
  </r>
  <r>
    <x v="78"/>
    <x v="1"/>
    <x v="3"/>
    <x v="1"/>
    <n v="45000"/>
    <n v="34"/>
    <n v="1530000"/>
  </r>
  <r>
    <x v="79"/>
    <x v="5"/>
    <x v="5"/>
    <x v="0"/>
    <n v="990"/>
    <n v="43"/>
    <n v="42570"/>
  </r>
  <r>
    <x v="80"/>
    <x v="4"/>
    <x v="4"/>
    <x v="0"/>
    <n v="11999"/>
    <n v="37"/>
    <n v="443963"/>
  </r>
  <r>
    <x v="81"/>
    <x v="4"/>
    <x v="1"/>
    <x v="0"/>
    <n v="960"/>
    <n v="7"/>
    <n v="6720"/>
  </r>
  <r>
    <x v="82"/>
    <x v="1"/>
    <x v="0"/>
    <x v="2"/>
    <n v="1450"/>
    <n v="19"/>
    <n v="27550"/>
  </r>
  <r>
    <x v="83"/>
    <x v="2"/>
    <x v="2"/>
    <x v="1"/>
    <n v="45000"/>
    <n v="47"/>
    <n v="2115000"/>
  </r>
  <r>
    <x v="84"/>
    <x v="1"/>
    <x v="5"/>
    <x v="1"/>
    <n v="1499"/>
    <n v="37"/>
    <n v="55463"/>
  </r>
  <r>
    <x v="85"/>
    <x v="4"/>
    <x v="4"/>
    <x v="2"/>
    <n v="79999"/>
    <n v="4"/>
    <n v="319996"/>
  </r>
  <r>
    <x v="86"/>
    <x v="3"/>
    <x v="2"/>
    <x v="4"/>
    <n v="999"/>
    <n v="45"/>
    <n v="44955"/>
  </r>
  <r>
    <x v="87"/>
    <x v="1"/>
    <x v="4"/>
    <x v="0"/>
    <n v="52000"/>
    <n v="15"/>
    <n v="780000"/>
  </r>
  <r>
    <x v="88"/>
    <x v="2"/>
    <x v="2"/>
    <x v="3"/>
    <n v="52000"/>
    <n v="39"/>
    <n v="2028000"/>
  </r>
  <r>
    <x v="89"/>
    <x v="4"/>
    <x v="1"/>
    <x v="2"/>
    <n v="960"/>
    <n v="33"/>
    <n v="31680"/>
  </r>
  <r>
    <x v="90"/>
    <x v="4"/>
    <x v="2"/>
    <x v="3"/>
    <n v="19500"/>
    <n v="45"/>
    <n v="877500"/>
  </r>
  <r>
    <x v="91"/>
    <x v="4"/>
    <x v="4"/>
    <x v="3"/>
    <n v="2999"/>
    <n v="33"/>
    <n v="98967"/>
  </r>
  <r>
    <x v="92"/>
    <x v="1"/>
    <x v="1"/>
    <x v="4"/>
    <n v="1250"/>
    <n v="14"/>
    <n v="17500"/>
  </r>
  <r>
    <x v="93"/>
    <x v="1"/>
    <x v="3"/>
    <x v="0"/>
    <n v="120"/>
    <n v="41"/>
    <n v="4920"/>
  </r>
  <r>
    <x v="94"/>
    <x v="2"/>
    <x v="0"/>
    <x v="3"/>
    <n v="1450"/>
    <n v="22"/>
    <n v="31900"/>
  </r>
  <r>
    <x v="95"/>
    <x v="4"/>
    <x v="4"/>
    <x v="0"/>
    <n v="89999"/>
    <n v="15"/>
    <n v="1349985"/>
  </r>
  <r>
    <x v="96"/>
    <x v="5"/>
    <x v="2"/>
    <x v="2"/>
    <n v="1999"/>
    <n v="48"/>
    <n v="95952"/>
  </r>
  <r>
    <x v="97"/>
    <x v="5"/>
    <x v="5"/>
    <x v="3"/>
    <n v="2900"/>
    <n v="49"/>
    <n v="142100"/>
  </r>
  <r>
    <x v="98"/>
    <x v="4"/>
    <x v="4"/>
    <x v="4"/>
    <n v="700"/>
    <n v="50"/>
    <n v="35000"/>
  </r>
  <r>
    <x v="99"/>
    <x v="3"/>
    <x v="3"/>
    <x v="3"/>
    <n v="200"/>
    <n v="41"/>
    <n v="8200"/>
  </r>
  <r>
    <x v="100"/>
    <x v="2"/>
    <x v="2"/>
    <x v="1"/>
    <n v="49000"/>
    <n v="29"/>
    <n v="1421000"/>
  </r>
  <r>
    <x v="101"/>
    <x v="0"/>
    <x v="0"/>
    <x v="4"/>
    <n v="5599"/>
    <n v="36"/>
    <n v="201564"/>
  </r>
  <r>
    <x v="102"/>
    <x v="3"/>
    <x v="3"/>
    <x v="3"/>
    <n v="13500"/>
    <n v="39"/>
    <n v="526500"/>
  </r>
  <r>
    <x v="103"/>
    <x v="2"/>
    <x v="4"/>
    <x v="3"/>
    <n v="79999"/>
    <n v="9"/>
    <n v="719991"/>
  </r>
  <r>
    <x v="104"/>
    <x v="4"/>
    <x v="2"/>
    <x v="2"/>
    <n v="75200"/>
    <n v="38"/>
    <n v="2857600"/>
  </r>
  <r>
    <x v="105"/>
    <x v="4"/>
    <x v="1"/>
    <x v="0"/>
    <n v="550"/>
    <n v="25"/>
    <n v="13750"/>
  </r>
  <r>
    <x v="106"/>
    <x v="0"/>
    <x v="0"/>
    <x v="0"/>
    <n v="499"/>
    <n v="50"/>
    <n v="24950"/>
  </r>
  <r>
    <x v="107"/>
    <x v="0"/>
    <x v="0"/>
    <x v="1"/>
    <n v="5599"/>
    <n v="33"/>
    <n v="184767"/>
  </r>
  <r>
    <x v="108"/>
    <x v="2"/>
    <x v="1"/>
    <x v="2"/>
    <n v="1450"/>
    <n v="44"/>
    <n v="63800"/>
  </r>
  <r>
    <x v="109"/>
    <x v="3"/>
    <x v="3"/>
    <x v="0"/>
    <n v="999"/>
    <n v="31"/>
    <n v="30969"/>
  </r>
  <r>
    <x v="110"/>
    <x v="3"/>
    <x v="3"/>
    <x v="3"/>
    <n v="100"/>
    <n v="11"/>
    <n v="1100"/>
  </r>
  <r>
    <x v="111"/>
    <x v="2"/>
    <x v="0"/>
    <x v="3"/>
    <n v="2550"/>
    <n v="48"/>
    <n v="122400"/>
  </r>
  <r>
    <x v="112"/>
    <x v="4"/>
    <x v="4"/>
    <x v="3"/>
    <n v="33000"/>
    <n v="26"/>
    <n v="858000"/>
  </r>
  <r>
    <x v="113"/>
    <x v="1"/>
    <x v="0"/>
    <x v="2"/>
    <n v="800"/>
    <n v="39"/>
    <n v="31200"/>
  </r>
  <r>
    <x v="114"/>
    <x v="5"/>
    <x v="5"/>
    <x v="2"/>
    <n v="990"/>
    <n v="9"/>
    <n v="8910"/>
  </r>
  <r>
    <x v="115"/>
    <x v="0"/>
    <x v="0"/>
    <x v="0"/>
    <n v="5599"/>
    <n v="41"/>
    <n v="229559"/>
  </r>
  <r>
    <x v="116"/>
    <x v="4"/>
    <x v="4"/>
    <x v="0"/>
    <n v="499"/>
    <n v="39"/>
    <n v="19461"/>
  </r>
  <r>
    <x v="117"/>
    <x v="5"/>
    <x v="5"/>
    <x v="0"/>
    <n v="1999"/>
    <n v="4"/>
    <n v="7996"/>
  </r>
  <r>
    <x v="118"/>
    <x v="2"/>
    <x v="3"/>
    <x v="0"/>
    <n v="200"/>
    <n v="8"/>
    <n v="1600"/>
  </r>
  <r>
    <x v="119"/>
    <x v="5"/>
    <x v="5"/>
    <x v="2"/>
    <n v="1499"/>
    <n v="27"/>
    <n v="40473"/>
  </r>
  <r>
    <x v="120"/>
    <x v="3"/>
    <x v="3"/>
    <x v="4"/>
    <n v="120"/>
    <n v="10"/>
    <n v="1200"/>
  </r>
  <r>
    <x v="121"/>
    <x v="1"/>
    <x v="4"/>
    <x v="4"/>
    <n v="11999"/>
    <n v="17"/>
    <n v="203983"/>
  </r>
  <r>
    <x v="122"/>
    <x v="1"/>
    <x v="4"/>
    <x v="1"/>
    <n v="999"/>
    <n v="27"/>
    <n v="26973"/>
  </r>
  <r>
    <x v="123"/>
    <x v="2"/>
    <x v="4"/>
    <x v="2"/>
    <n v="2999"/>
    <n v="43"/>
    <n v="128957"/>
  </r>
  <r>
    <x v="124"/>
    <x v="3"/>
    <x v="2"/>
    <x v="1"/>
    <n v="47800"/>
    <n v="9"/>
    <n v="430200"/>
  </r>
  <r>
    <x v="125"/>
    <x v="4"/>
    <x v="2"/>
    <x v="0"/>
    <n v="22000"/>
    <n v="42"/>
    <n v="924000"/>
  </r>
  <r>
    <x v="126"/>
    <x v="4"/>
    <x v="1"/>
    <x v="1"/>
    <n v="1250"/>
    <n v="6"/>
    <n v="7500"/>
  </r>
  <r>
    <x v="127"/>
    <x v="3"/>
    <x v="3"/>
    <x v="2"/>
    <n v="999"/>
    <n v="28"/>
    <n v="27972"/>
  </r>
  <r>
    <x v="128"/>
    <x v="4"/>
    <x v="1"/>
    <x v="4"/>
    <n v="1450"/>
    <n v="13"/>
    <n v="18850"/>
  </r>
  <r>
    <x v="129"/>
    <x v="4"/>
    <x v="1"/>
    <x v="4"/>
    <n v="23999"/>
    <n v="8"/>
    <n v="191992"/>
  </r>
  <r>
    <x v="130"/>
    <x v="1"/>
    <x v="2"/>
    <x v="4"/>
    <n v="92000"/>
    <n v="7"/>
    <n v="644000"/>
  </r>
  <r>
    <x v="131"/>
    <x v="5"/>
    <x v="5"/>
    <x v="2"/>
    <n v="699"/>
    <n v="45"/>
    <n v="31455"/>
  </r>
  <r>
    <x v="132"/>
    <x v="0"/>
    <x v="0"/>
    <x v="0"/>
    <n v="2550"/>
    <n v="22"/>
    <n v="56100"/>
  </r>
  <r>
    <x v="133"/>
    <x v="2"/>
    <x v="4"/>
    <x v="4"/>
    <n v="22000"/>
    <n v="4"/>
    <n v="88000"/>
  </r>
  <r>
    <x v="134"/>
    <x v="4"/>
    <x v="4"/>
    <x v="0"/>
    <n v="22000"/>
    <n v="10"/>
    <n v="220000"/>
  </r>
  <r>
    <x v="135"/>
    <x v="1"/>
    <x v="5"/>
    <x v="2"/>
    <n v="1499"/>
    <n v="16"/>
    <n v="23984"/>
  </r>
  <r>
    <x v="136"/>
    <x v="3"/>
    <x v="3"/>
    <x v="4"/>
    <n v="120"/>
    <n v="22"/>
    <n v="2640"/>
  </r>
  <r>
    <x v="137"/>
    <x v="0"/>
    <x v="0"/>
    <x v="1"/>
    <n v="1450"/>
    <n v="20"/>
    <n v="29000"/>
  </r>
  <r>
    <x v="138"/>
    <x v="5"/>
    <x v="5"/>
    <x v="2"/>
    <n v="1999"/>
    <n v="23"/>
    <n v="45977"/>
  </r>
  <r>
    <x v="139"/>
    <x v="1"/>
    <x v="0"/>
    <x v="5"/>
    <n v="800"/>
    <n v="43"/>
    <n v="34400"/>
  </r>
  <r>
    <x v="140"/>
    <x v="3"/>
    <x v="3"/>
    <x v="4"/>
    <n v="100"/>
    <n v="41"/>
    <n v="4100"/>
  </r>
  <r>
    <x v="141"/>
    <x v="0"/>
    <x v="2"/>
    <x v="4"/>
    <n v="13999"/>
    <n v="37"/>
    <n v="517963"/>
  </r>
  <r>
    <x v="142"/>
    <x v="2"/>
    <x v="4"/>
    <x v="3"/>
    <n v="22000"/>
    <n v="45"/>
    <n v="990000"/>
  </r>
  <r>
    <x v="143"/>
    <x v="4"/>
    <x v="4"/>
    <x v="5"/>
    <n v="89999"/>
    <n v="15"/>
    <n v="1349985"/>
  </r>
  <r>
    <x v="144"/>
    <x v="0"/>
    <x v="0"/>
    <x v="3"/>
    <n v="13999"/>
    <n v="22"/>
    <n v="307978"/>
  </r>
  <r>
    <x v="145"/>
    <x v="1"/>
    <x v="5"/>
    <x v="2"/>
    <n v="2900"/>
    <n v="20"/>
    <n v="58000"/>
  </r>
  <r>
    <x v="146"/>
    <x v="4"/>
    <x v="4"/>
    <x v="3"/>
    <n v="33000"/>
    <n v="16"/>
    <n v="528000"/>
  </r>
  <r>
    <x v="147"/>
    <x v="1"/>
    <x v="4"/>
    <x v="1"/>
    <n v="22000"/>
    <n v="17"/>
    <n v="374000"/>
  </r>
  <r>
    <x v="148"/>
    <x v="1"/>
    <x v="5"/>
    <x v="1"/>
    <n v="45000"/>
    <n v="50"/>
    <n v="2250000"/>
  </r>
  <r>
    <x v="149"/>
    <x v="4"/>
    <x v="2"/>
    <x v="2"/>
    <n v="499"/>
    <n v="4"/>
    <n v="1996"/>
  </r>
  <r>
    <x v="150"/>
    <x v="5"/>
    <x v="5"/>
    <x v="3"/>
    <n v="590"/>
    <n v="43"/>
    <n v="25370"/>
  </r>
  <r>
    <x v="151"/>
    <x v="2"/>
    <x v="5"/>
    <x v="1"/>
    <n v="590"/>
    <n v="42"/>
    <n v="24780"/>
  </r>
  <r>
    <x v="152"/>
    <x v="3"/>
    <x v="3"/>
    <x v="0"/>
    <n v="12000"/>
    <n v="9"/>
    <n v="108000"/>
  </r>
  <r>
    <x v="153"/>
    <x v="4"/>
    <x v="4"/>
    <x v="5"/>
    <n v="52000"/>
    <n v="40"/>
    <n v="2080000"/>
  </r>
  <r>
    <x v="154"/>
    <x v="4"/>
    <x v="1"/>
    <x v="3"/>
    <n v="7999"/>
    <n v="14"/>
    <n v="111986"/>
  </r>
  <r>
    <x v="155"/>
    <x v="1"/>
    <x v="1"/>
    <x v="4"/>
    <n v="5000"/>
    <n v="9"/>
    <n v="45000"/>
  </r>
  <r>
    <x v="156"/>
    <x v="4"/>
    <x v="4"/>
    <x v="3"/>
    <n v="79999"/>
    <n v="10"/>
    <n v="799990"/>
  </r>
  <r>
    <x v="157"/>
    <x v="5"/>
    <x v="2"/>
    <x v="2"/>
    <n v="1999"/>
    <n v="37"/>
    <n v="73963"/>
  </r>
  <r>
    <x v="158"/>
    <x v="4"/>
    <x v="4"/>
    <x v="3"/>
    <n v="89999"/>
    <n v="29"/>
    <n v="2609971"/>
  </r>
  <r>
    <x v="159"/>
    <x v="2"/>
    <x v="4"/>
    <x v="0"/>
    <n v="799"/>
    <n v="44"/>
    <n v="35156"/>
  </r>
  <r>
    <x v="160"/>
    <x v="4"/>
    <x v="4"/>
    <x v="1"/>
    <n v="3990"/>
    <n v="31"/>
    <n v="123690"/>
  </r>
  <r>
    <x v="161"/>
    <x v="1"/>
    <x v="4"/>
    <x v="2"/>
    <n v="52000"/>
    <n v="29"/>
    <n v="1508000"/>
  </r>
  <r>
    <x v="162"/>
    <x v="1"/>
    <x v="0"/>
    <x v="3"/>
    <n v="13999"/>
    <n v="34"/>
    <n v="475966"/>
  </r>
  <r>
    <x v="163"/>
    <x v="3"/>
    <x v="3"/>
    <x v="2"/>
    <n v="14500"/>
    <n v="29"/>
    <n v="420500"/>
  </r>
  <r>
    <x v="164"/>
    <x v="4"/>
    <x v="1"/>
    <x v="5"/>
    <n v="23999"/>
    <n v="25"/>
    <n v="599975"/>
  </r>
  <r>
    <x v="165"/>
    <x v="4"/>
    <x v="1"/>
    <x v="3"/>
    <n v="1250"/>
    <n v="31"/>
    <n v="38750"/>
  </r>
  <r>
    <x v="166"/>
    <x v="5"/>
    <x v="2"/>
    <x v="3"/>
    <n v="35600"/>
    <n v="16"/>
    <n v="569600"/>
  </r>
  <r>
    <x v="167"/>
    <x v="3"/>
    <x v="3"/>
    <x v="3"/>
    <n v="65000"/>
    <n v="48"/>
    <n v="3120000"/>
  </r>
  <r>
    <x v="168"/>
    <x v="2"/>
    <x v="3"/>
    <x v="5"/>
    <n v="12000"/>
    <n v="22"/>
    <n v="264000"/>
  </r>
  <r>
    <x v="169"/>
    <x v="5"/>
    <x v="5"/>
    <x v="3"/>
    <n v="699"/>
    <n v="6"/>
    <n v="4194"/>
  </r>
  <r>
    <x v="170"/>
    <x v="5"/>
    <x v="2"/>
    <x v="2"/>
    <n v="990"/>
    <n v="12"/>
    <n v="11880"/>
  </r>
  <r>
    <x v="171"/>
    <x v="5"/>
    <x v="5"/>
    <x v="0"/>
    <n v="450"/>
    <n v="44"/>
    <n v="19800"/>
  </r>
  <r>
    <x v="172"/>
    <x v="5"/>
    <x v="2"/>
    <x v="0"/>
    <n v="1499"/>
    <n v="15"/>
    <n v="22485"/>
  </r>
  <r>
    <x v="173"/>
    <x v="0"/>
    <x v="0"/>
    <x v="4"/>
    <n v="499"/>
    <n v="26"/>
    <n v="12974"/>
  </r>
  <r>
    <x v="174"/>
    <x v="4"/>
    <x v="1"/>
    <x v="4"/>
    <n v="960"/>
    <n v="16"/>
    <n v="15360"/>
  </r>
  <r>
    <x v="175"/>
    <x v="2"/>
    <x v="2"/>
    <x v="3"/>
    <n v="5599"/>
    <n v="35"/>
    <n v="195965"/>
  </r>
  <r>
    <x v="176"/>
    <x v="3"/>
    <x v="3"/>
    <x v="0"/>
    <n v="89"/>
    <n v="36"/>
    <n v="3204"/>
  </r>
  <r>
    <x v="177"/>
    <x v="0"/>
    <x v="0"/>
    <x v="2"/>
    <n v="2550"/>
    <n v="20"/>
    <n v="51000"/>
  </r>
  <r>
    <x v="178"/>
    <x v="0"/>
    <x v="0"/>
    <x v="0"/>
    <n v="1450"/>
    <n v="47"/>
    <n v="68150"/>
  </r>
  <r>
    <x v="179"/>
    <x v="5"/>
    <x v="5"/>
    <x v="3"/>
    <n v="2900"/>
    <n v="6"/>
    <n v="17400"/>
  </r>
  <r>
    <x v="180"/>
    <x v="3"/>
    <x v="3"/>
    <x v="4"/>
    <n v="120"/>
    <n v="6"/>
    <n v="720"/>
  </r>
  <r>
    <x v="181"/>
    <x v="4"/>
    <x v="4"/>
    <x v="4"/>
    <n v="52000"/>
    <n v="41"/>
    <n v="2132000"/>
  </r>
  <r>
    <x v="182"/>
    <x v="5"/>
    <x v="5"/>
    <x v="2"/>
    <n v="590"/>
    <n v="29"/>
    <n v="17110"/>
  </r>
  <r>
    <x v="183"/>
    <x v="4"/>
    <x v="2"/>
    <x v="5"/>
    <n v="7999"/>
    <n v="31"/>
    <n v="247969"/>
  </r>
  <r>
    <x v="184"/>
    <x v="1"/>
    <x v="3"/>
    <x v="2"/>
    <n v="999"/>
    <n v="34"/>
    <n v="33966"/>
  </r>
  <r>
    <x v="185"/>
    <x v="2"/>
    <x v="5"/>
    <x v="0"/>
    <n v="990"/>
    <n v="43"/>
    <n v="42570"/>
  </r>
  <r>
    <x v="186"/>
    <x v="4"/>
    <x v="4"/>
    <x v="0"/>
    <n v="11999"/>
    <n v="37"/>
    <n v="443963"/>
  </r>
  <r>
    <x v="187"/>
    <x v="4"/>
    <x v="1"/>
    <x v="0"/>
    <n v="960"/>
    <n v="7"/>
    <n v="6720"/>
  </r>
  <r>
    <x v="188"/>
    <x v="0"/>
    <x v="0"/>
    <x v="2"/>
    <n v="1450"/>
    <n v="19"/>
    <n v="27550"/>
  </r>
  <r>
    <x v="189"/>
    <x v="5"/>
    <x v="5"/>
    <x v="1"/>
    <n v="450"/>
    <n v="47"/>
    <n v="21150"/>
  </r>
  <r>
    <x v="190"/>
    <x v="1"/>
    <x v="5"/>
    <x v="2"/>
    <n v="1499"/>
    <n v="37"/>
    <n v="55463"/>
  </r>
  <r>
    <x v="191"/>
    <x v="2"/>
    <x v="4"/>
    <x v="1"/>
    <n v="79999"/>
    <n v="4"/>
    <n v="319996"/>
  </r>
  <r>
    <x v="192"/>
    <x v="2"/>
    <x v="3"/>
    <x v="4"/>
    <n v="999"/>
    <n v="45"/>
    <n v="44955"/>
  </r>
  <r>
    <x v="193"/>
    <x v="4"/>
    <x v="4"/>
    <x v="0"/>
    <n v="52000"/>
    <n v="15"/>
    <n v="780000"/>
  </r>
  <r>
    <x v="194"/>
    <x v="4"/>
    <x v="4"/>
    <x v="3"/>
    <n v="52000"/>
    <n v="39"/>
    <n v="2028000"/>
  </r>
  <r>
    <x v="195"/>
    <x v="4"/>
    <x v="1"/>
    <x v="2"/>
    <n v="960"/>
    <n v="33"/>
    <n v="31680"/>
  </r>
  <r>
    <x v="196"/>
    <x v="4"/>
    <x v="1"/>
    <x v="2"/>
    <n v="1450"/>
    <n v="34"/>
    <n v="49300"/>
  </r>
  <r>
    <x v="197"/>
    <x v="4"/>
    <x v="2"/>
    <x v="3"/>
    <n v="2999"/>
    <n v="33"/>
    <n v="98967"/>
  </r>
  <r>
    <x v="198"/>
    <x v="2"/>
    <x v="1"/>
    <x v="4"/>
    <n v="1250"/>
    <n v="14"/>
    <n v="17500"/>
  </r>
  <r>
    <x v="199"/>
    <x v="3"/>
    <x v="3"/>
    <x v="0"/>
    <n v="120"/>
    <n v="41"/>
    <n v="4920"/>
  </r>
  <r>
    <x v="200"/>
    <x v="1"/>
    <x v="0"/>
    <x v="3"/>
    <n v="1450"/>
    <n v="22"/>
    <n v="31900"/>
  </r>
  <r>
    <x v="201"/>
    <x v="1"/>
    <x v="4"/>
    <x v="0"/>
    <n v="89999"/>
    <n v="15"/>
    <n v="1349985"/>
  </r>
  <r>
    <x v="202"/>
    <x v="5"/>
    <x v="5"/>
    <x v="2"/>
    <n v="1999"/>
    <n v="48"/>
    <n v="95952"/>
  </r>
  <r>
    <x v="203"/>
    <x v="5"/>
    <x v="2"/>
    <x v="3"/>
    <n v="2900"/>
    <n v="49"/>
    <n v="142100"/>
  </r>
  <r>
    <x v="204"/>
    <x v="4"/>
    <x v="4"/>
    <x v="4"/>
    <n v="700"/>
    <n v="50"/>
    <n v="35000"/>
  </r>
  <r>
    <x v="205"/>
    <x v="3"/>
    <x v="3"/>
    <x v="3"/>
    <n v="200"/>
    <n v="41"/>
    <n v="8200"/>
  </r>
  <r>
    <x v="206"/>
    <x v="0"/>
    <x v="0"/>
    <x v="2"/>
    <n v="499"/>
    <n v="29"/>
    <n v="14471"/>
  </r>
  <r>
    <x v="207"/>
    <x v="2"/>
    <x v="0"/>
    <x v="5"/>
    <n v="5599"/>
    <n v="36"/>
    <n v="201564"/>
  </r>
  <r>
    <x v="208"/>
    <x v="1"/>
    <x v="3"/>
    <x v="3"/>
    <n v="100"/>
    <n v="39"/>
    <n v="3900"/>
  </r>
  <r>
    <x v="209"/>
    <x v="4"/>
    <x v="2"/>
    <x v="3"/>
    <n v="79999"/>
    <n v="9"/>
    <n v="719991"/>
  </r>
  <r>
    <x v="210"/>
    <x v="2"/>
    <x v="4"/>
    <x v="2"/>
    <n v="700"/>
    <n v="38"/>
    <n v="26600"/>
  </r>
  <r>
    <x v="211"/>
    <x v="4"/>
    <x v="1"/>
    <x v="0"/>
    <n v="550"/>
    <n v="25"/>
    <n v="13750"/>
  </r>
  <r>
    <x v="212"/>
    <x v="5"/>
    <x v="5"/>
    <x v="3"/>
    <n v="1499"/>
    <n v="16"/>
    <n v="23984"/>
  </r>
  <r>
    <x v="213"/>
    <x v="3"/>
    <x v="3"/>
    <x v="4"/>
    <n v="120"/>
    <n v="22"/>
    <n v="2640"/>
  </r>
  <r>
    <x v="214"/>
    <x v="0"/>
    <x v="0"/>
    <x v="1"/>
    <n v="1450"/>
    <n v="20"/>
    <n v="29000"/>
  </r>
  <r>
    <x v="215"/>
    <x v="5"/>
    <x v="2"/>
    <x v="2"/>
    <n v="1999"/>
    <n v="23"/>
    <n v="45977"/>
  </r>
  <r>
    <x v="216"/>
    <x v="0"/>
    <x v="0"/>
    <x v="3"/>
    <n v="800"/>
    <n v="43"/>
    <n v="34400"/>
  </r>
  <r>
    <x v="217"/>
    <x v="2"/>
    <x v="3"/>
    <x v="4"/>
    <n v="100"/>
    <n v="41"/>
    <n v="4100"/>
  </r>
  <r>
    <x v="218"/>
    <x v="0"/>
    <x v="0"/>
    <x v="2"/>
    <n v="13999"/>
    <n v="37"/>
    <n v="517963"/>
  </r>
  <r>
    <x v="219"/>
    <x v="4"/>
    <x v="4"/>
    <x v="3"/>
    <n v="22000"/>
    <n v="45"/>
    <n v="990000"/>
  </r>
  <r>
    <x v="220"/>
    <x v="4"/>
    <x v="4"/>
    <x v="5"/>
    <n v="89999"/>
    <n v="15"/>
    <n v="1349985"/>
  </r>
  <r>
    <x v="221"/>
    <x v="1"/>
    <x v="2"/>
    <x v="3"/>
    <n v="13999"/>
    <n v="22"/>
    <n v="307978"/>
  </r>
  <r>
    <x v="222"/>
    <x v="2"/>
    <x v="5"/>
    <x v="2"/>
    <n v="2900"/>
    <n v="20"/>
    <n v="58000"/>
  </r>
  <r>
    <x v="223"/>
    <x v="1"/>
    <x v="4"/>
    <x v="3"/>
    <n v="33000"/>
    <n v="16"/>
    <n v="528000"/>
  </r>
  <r>
    <x v="224"/>
    <x v="4"/>
    <x v="2"/>
    <x v="1"/>
    <n v="22000"/>
    <n v="17"/>
    <n v="374000"/>
  </r>
  <r>
    <x v="225"/>
    <x v="5"/>
    <x v="5"/>
    <x v="1"/>
    <n v="699"/>
    <n v="50"/>
    <n v="34950"/>
  </r>
  <r>
    <x v="226"/>
    <x v="2"/>
    <x v="4"/>
    <x v="2"/>
    <n v="499"/>
    <n v="4"/>
    <n v="1996"/>
  </r>
  <r>
    <x v="227"/>
    <x v="5"/>
    <x v="5"/>
    <x v="3"/>
    <n v="590"/>
    <n v="43"/>
    <n v="25370"/>
  </r>
  <r>
    <x v="228"/>
    <x v="5"/>
    <x v="5"/>
    <x v="1"/>
    <n v="590"/>
    <n v="42"/>
    <n v="24780"/>
  </r>
  <r>
    <x v="229"/>
    <x v="3"/>
    <x v="3"/>
    <x v="0"/>
    <n v="120"/>
    <n v="9"/>
    <n v="1080"/>
  </r>
  <r>
    <x v="230"/>
    <x v="2"/>
    <x v="4"/>
    <x v="5"/>
    <n v="52000"/>
    <n v="40"/>
    <n v="2080000"/>
  </r>
  <r>
    <x v="231"/>
    <x v="4"/>
    <x v="2"/>
    <x v="3"/>
    <n v="7999"/>
    <n v="14"/>
    <n v="111986"/>
  </r>
  <r>
    <x v="232"/>
    <x v="2"/>
    <x v="1"/>
    <x v="4"/>
    <n v="550"/>
    <n v="9"/>
    <n v="4950"/>
  </r>
  <r>
    <x v="233"/>
    <x v="4"/>
    <x v="4"/>
    <x v="3"/>
    <n v="79999"/>
    <n v="10"/>
    <n v="799990"/>
  </r>
  <r>
    <x v="234"/>
    <x v="1"/>
    <x v="2"/>
    <x v="1"/>
    <n v="1999"/>
    <n v="37"/>
    <n v="73963"/>
  </r>
  <r>
    <x v="235"/>
    <x v="2"/>
    <x v="4"/>
    <x v="3"/>
    <n v="89999"/>
    <n v="29"/>
    <n v="2609971"/>
  </r>
  <r>
    <x v="236"/>
    <x v="4"/>
    <x v="4"/>
    <x v="0"/>
    <n v="799"/>
    <n v="44"/>
    <n v="35156"/>
  </r>
  <r>
    <x v="237"/>
    <x v="4"/>
    <x v="4"/>
    <x v="5"/>
    <n v="3990"/>
    <n v="31"/>
    <n v="123690"/>
  </r>
  <r>
    <x v="238"/>
    <x v="2"/>
    <x v="2"/>
    <x v="2"/>
    <n v="52000"/>
    <n v="29"/>
    <n v="1508000"/>
  </r>
  <r>
    <x v="239"/>
    <x v="0"/>
    <x v="0"/>
    <x v="3"/>
    <n v="13999"/>
    <n v="34"/>
    <n v="475966"/>
  </r>
  <r>
    <x v="240"/>
    <x v="2"/>
    <x v="3"/>
    <x v="2"/>
    <n v="120"/>
    <n v="29"/>
    <n v="3480"/>
  </r>
  <r>
    <x v="241"/>
    <x v="4"/>
    <x v="1"/>
    <x v="0"/>
    <n v="23999"/>
    <n v="25"/>
    <n v="599975"/>
  </r>
  <r>
    <x v="242"/>
    <x v="2"/>
    <x v="1"/>
    <x v="3"/>
    <n v="1250"/>
    <n v="31"/>
    <n v="38750"/>
  </r>
  <r>
    <x v="243"/>
    <x v="5"/>
    <x v="2"/>
    <x v="3"/>
    <n v="45000"/>
    <n v="16"/>
    <n v="720000"/>
  </r>
  <r>
    <x v="244"/>
    <x v="1"/>
    <x v="3"/>
    <x v="2"/>
    <n v="120"/>
    <n v="48"/>
    <n v="5760"/>
  </r>
  <r>
    <x v="245"/>
    <x v="2"/>
    <x v="2"/>
    <x v="4"/>
    <n v="25600"/>
    <n v="22"/>
    <n v="563200"/>
  </r>
  <r>
    <x v="246"/>
    <x v="5"/>
    <x v="5"/>
    <x v="3"/>
    <n v="699"/>
    <n v="6"/>
    <n v="4194"/>
  </r>
  <r>
    <x v="247"/>
    <x v="5"/>
    <x v="2"/>
    <x v="2"/>
    <n v="99620"/>
    <n v="12"/>
    <n v="1195440"/>
  </r>
  <r>
    <x v="248"/>
    <x v="2"/>
    <x v="5"/>
    <x v="5"/>
    <n v="450"/>
    <n v="44"/>
    <n v="19800"/>
  </r>
  <r>
    <x v="249"/>
    <x v="5"/>
    <x v="5"/>
    <x v="2"/>
    <n v="1499"/>
    <n v="15"/>
    <n v="22485"/>
  </r>
  <r>
    <x v="250"/>
    <x v="0"/>
    <x v="2"/>
    <x v="4"/>
    <n v="49500"/>
    <n v="26"/>
    <n v="1287000"/>
  </r>
  <r>
    <x v="251"/>
    <x v="1"/>
    <x v="1"/>
    <x v="4"/>
    <n v="960"/>
    <n v="16"/>
    <n v="15360"/>
  </r>
  <r>
    <x v="252"/>
    <x v="2"/>
    <x v="0"/>
    <x v="3"/>
    <n v="5599"/>
    <n v="35"/>
    <n v="195965"/>
  </r>
  <r>
    <x v="253"/>
    <x v="3"/>
    <x v="3"/>
    <x v="0"/>
    <n v="89"/>
    <n v="36"/>
    <n v="3204"/>
  </r>
  <r>
    <x v="254"/>
    <x v="0"/>
    <x v="0"/>
    <x v="5"/>
    <n v="2550"/>
    <n v="20"/>
    <n v="51000"/>
  </r>
  <r>
    <x v="255"/>
    <x v="2"/>
    <x v="2"/>
    <x v="0"/>
    <n v="14500"/>
    <n v="47"/>
    <n v="681500"/>
  </r>
  <r>
    <x v="256"/>
    <x v="5"/>
    <x v="5"/>
    <x v="3"/>
    <n v="2900"/>
    <n v="6"/>
    <n v="17400"/>
  </r>
  <r>
    <x v="257"/>
    <x v="3"/>
    <x v="3"/>
    <x v="4"/>
    <n v="120"/>
    <n v="6"/>
    <n v="720"/>
  </r>
  <r>
    <x v="258"/>
    <x v="4"/>
    <x v="2"/>
    <x v="2"/>
    <n v="52000"/>
    <n v="41"/>
    <n v="2132000"/>
  </r>
  <r>
    <x v="259"/>
    <x v="1"/>
    <x v="5"/>
    <x v="1"/>
    <n v="590"/>
    <n v="29"/>
    <n v="17110"/>
  </r>
  <r>
    <x v="260"/>
    <x v="4"/>
    <x v="1"/>
    <x v="4"/>
    <n v="7999"/>
    <n v="31"/>
    <n v="247969"/>
  </r>
  <r>
    <x v="261"/>
    <x v="2"/>
    <x v="3"/>
    <x v="1"/>
    <n v="999"/>
    <n v="34"/>
    <n v="33966"/>
  </r>
  <r>
    <x v="262"/>
    <x v="5"/>
    <x v="2"/>
    <x v="2"/>
    <n v="990"/>
    <n v="43"/>
    <n v="42570"/>
  </r>
  <r>
    <x v="263"/>
    <x v="2"/>
    <x v="4"/>
    <x v="0"/>
    <n v="11999"/>
    <n v="37"/>
    <n v="443963"/>
  </r>
  <r>
    <x v="264"/>
    <x v="1"/>
    <x v="1"/>
    <x v="0"/>
    <n v="960"/>
    <n v="7"/>
    <n v="6720"/>
  </r>
  <r>
    <x v="265"/>
    <x v="0"/>
    <x v="0"/>
    <x v="2"/>
    <n v="1450"/>
    <n v="19"/>
    <n v="27550"/>
  </r>
  <r>
    <x v="266"/>
    <x v="5"/>
    <x v="5"/>
    <x v="1"/>
    <n v="450"/>
    <n v="47"/>
    <n v="21150"/>
  </r>
  <r>
    <x v="267"/>
    <x v="2"/>
    <x v="2"/>
    <x v="1"/>
    <n v="1499"/>
    <n v="37"/>
    <n v="55463"/>
  </r>
  <r>
    <x v="268"/>
    <x v="4"/>
    <x v="4"/>
    <x v="1"/>
    <n v="79999"/>
    <n v="4"/>
    <n v="319996"/>
  </r>
  <r>
    <x v="269"/>
    <x v="2"/>
    <x v="3"/>
    <x v="4"/>
    <n v="999"/>
    <n v="45"/>
    <n v="44955"/>
  </r>
  <r>
    <x v="270"/>
    <x v="4"/>
    <x v="4"/>
    <x v="0"/>
    <n v="52000"/>
    <n v="15"/>
    <n v="780000"/>
  </r>
  <r>
    <x v="271"/>
    <x v="1"/>
    <x v="4"/>
    <x v="3"/>
    <n v="52000"/>
    <n v="39"/>
    <n v="2028000"/>
  </r>
  <r>
    <x v="272"/>
    <x v="2"/>
    <x v="1"/>
    <x v="3"/>
    <n v="960"/>
    <n v="33"/>
    <n v="31680"/>
  </r>
  <r>
    <x v="273"/>
    <x v="4"/>
    <x v="1"/>
    <x v="2"/>
    <n v="1450"/>
    <n v="34"/>
    <n v="49300"/>
  </r>
  <r>
    <x v="274"/>
    <x v="5"/>
    <x v="5"/>
    <x v="5"/>
    <n v="2500"/>
    <n v="100"/>
    <n v="250000"/>
  </r>
  <r>
    <x v="275"/>
    <x v="1"/>
    <x v="2"/>
    <x v="5"/>
    <n v="86540"/>
    <n v="6"/>
    <n v="519240"/>
  </r>
  <r>
    <x v="276"/>
    <x v="3"/>
    <x v="3"/>
    <x v="5"/>
    <n v="550"/>
    <n v="44"/>
    <n v="24200"/>
  </r>
  <r>
    <x v="277"/>
    <x v="2"/>
    <x v="4"/>
    <x v="5"/>
    <n v="65400"/>
    <n v="19"/>
    <n v="124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215027-80AC-4A2B-81E1-B7F2529C90AF}" name="PivotTable15" cacheId="7"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8">
  <location ref="A131:B138"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7">
    <i>
      <x v="3"/>
    </i>
    <i>
      <x v="5"/>
    </i>
    <i>
      <x v="4"/>
    </i>
    <i>
      <x v="2"/>
    </i>
    <i>
      <x v="1"/>
    </i>
    <i>
      <x/>
    </i>
    <i t="grand">
      <x/>
    </i>
  </rowItems>
  <colItems count="1">
    <i/>
  </colItems>
  <dataFields count="1">
    <dataField name="Sum of Units" fld="5" baseField="0" baseItem="0"/>
  </dataFields>
  <chartFormats count="6">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18CF44-755C-4714-ACC7-820DA568D5D8}" name="PivotTable14" cacheId="7"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1">
  <location ref="A112:B11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items count="7">
        <item x="4"/>
        <item x="2"/>
        <item x="1"/>
        <item x="3"/>
        <item x="5"/>
        <item x="0"/>
        <item t="default"/>
      </items>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4">
    <i>
      <x v="3"/>
    </i>
    <i>
      <x v="4"/>
    </i>
    <i>
      <x v="5"/>
    </i>
    <i t="grand">
      <x/>
    </i>
  </rowItems>
  <colItems count="1">
    <i/>
  </colItems>
  <dataFields count="1">
    <dataField name="Sum of Units" fld="5" baseField="0" baseItem="0"/>
  </dataFields>
  <chartFormats count="4">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0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56240D-4DC1-46EF-999F-0B229D1B060C}" name="PivotTable13" cacheId="7"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7">
  <location ref="A98:B102"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sortType="de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4">
    <i>
      <x/>
    </i>
    <i>
      <x v="1"/>
    </i>
    <i>
      <x v="2"/>
    </i>
    <i t="grand">
      <x/>
    </i>
  </rowItems>
  <colItems count="1">
    <i/>
  </colItems>
  <dataFields count="1">
    <dataField name="Sum of Units" fld="5" baseField="0" baseItem="0"/>
  </dataFields>
  <chartFormats count="2">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0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CEFFEB-D660-4BD5-901B-8864CE0E870E}" name="PivotTable12" cacheId="7"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3">
  <location ref="A88:B92"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4">
    <i>
      <x v="1"/>
    </i>
    <i>
      <x v="3"/>
    </i>
    <i>
      <x v="4"/>
    </i>
    <i t="grand">
      <x/>
    </i>
  </rowItems>
  <colItems count="1">
    <i/>
  </colItems>
  <dataFields count="1">
    <dataField name="Sum of Units" fld="5" baseField="0" baseItem="0"/>
  </dataFields>
  <chartFormats count="7">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2" count="1" selected="0">
            <x v="2"/>
          </reference>
        </references>
      </pivotArea>
    </chartFormat>
    <chartFormat chart="22" format="7">
      <pivotArea type="data" outline="0" fieldPosition="0">
        <references count="2">
          <reference field="4294967294" count="1" selected="0">
            <x v="0"/>
          </reference>
          <reference field="2" count="1" selected="0">
            <x v="3"/>
          </reference>
        </references>
      </pivotArea>
    </chartFormat>
    <chartFormat chart="22" format="8">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1">
    <filter fld="2" type="count" evalOrder="-1" id="105"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A9EF17-75AD-453C-9C35-D4CD732240DE}" name="PivotTable11" cacheId="7"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0">
  <location ref="A72:B7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4">
    <i>
      <x/>
    </i>
    <i>
      <x v="2"/>
    </i>
    <i>
      <x v="5"/>
    </i>
    <i t="grand">
      <x/>
    </i>
  </rowItems>
  <colItems count="1">
    <i/>
  </colItems>
  <dataFields count="1">
    <dataField name="Sum of Units" fld="5" baseField="0" baseItem="0"/>
  </dataFields>
  <chartFormats count="3">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0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546FD9-F72F-4F54-A844-73A4148EFB45}" name="PivotTable10" cacheId="7"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2">
  <location ref="A61:A62"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Items count="1">
    <i/>
  </rowItems>
  <colItems count="1">
    <i/>
  </colItems>
  <dataFields count="1">
    <dataField name="Count of Units" fld="5" subtotal="count"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46AD1A-1BFC-4ADA-B301-DEE794464006}" name="PivotTable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57:A58"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sortType="ascending">
      <items count="7">
        <item x="2"/>
        <item x="4"/>
        <item x="0"/>
        <item x="5"/>
        <item x="3"/>
        <item x="1"/>
        <item t="default"/>
      </items>
      <autoSortScope>
        <pivotArea dataOnly="0" outline="0" fieldPosition="0">
          <references count="1">
            <reference field="4294967294" count="1" selected="0">
              <x v="0"/>
            </reference>
          </references>
        </pivotArea>
      </autoSortScope>
    </pivotField>
    <pivotField showAll="0"/>
    <pivotField showAll="0"/>
    <pivotField dataField="1" numFmtId="3"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Items count="1">
    <i/>
  </rowItems>
  <colItems count="1">
    <i/>
  </colItems>
  <dataFields count="1">
    <dataField name="Sum of Amount" fld="6" baseField="0" baseItem="0" numFmtId="3"/>
  </dataFields>
  <chartFormats count="5">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17C022-8472-4B65-A161-1C2147E4FD45}" name="PivotTable1" cacheId="7"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5">
  <location ref="A39:B4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sortType="ascending">
      <items count="7">
        <item x="2"/>
        <item x="4"/>
        <item x="0"/>
        <item x="5"/>
        <item x="3"/>
        <item x="1"/>
        <item t="default"/>
      </items>
      <autoSortScope>
        <pivotArea dataOnly="0" outline="0" fieldPosition="0">
          <references count="1">
            <reference field="4294967294" count="1" selected="0">
              <x v="0"/>
            </reference>
          </references>
        </pivotArea>
      </autoSortScope>
    </pivotField>
    <pivotField showAll="0"/>
    <pivotField showAll="0"/>
    <pivotField dataField="1" numFmtId="3"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7">
    <i>
      <x v="3"/>
    </i>
    <i>
      <x v="5"/>
    </i>
    <i>
      <x v="1"/>
    </i>
    <i>
      <x v="4"/>
    </i>
    <i>
      <x/>
    </i>
    <i>
      <x v="2"/>
    </i>
    <i t="grand">
      <x/>
    </i>
  </rowItems>
  <colItems count="1">
    <i/>
  </colItems>
  <dataFields count="1">
    <dataField name="Sum of Amount" fld="6" showDataAs="percentOfCol" baseField="0" baseItem="0" numFmtId="10"/>
  </dataFields>
  <chartFormats count="8">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E3EB78-B400-4A0A-9EF0-0BE7F4306634}" name="PivotTable9" cacheId="7"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7">
  <location ref="A20:B27"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axis="axisRow" showAll="0" sortType="ascending">
      <items count="7">
        <item x="2"/>
        <item x="4"/>
        <item x="0"/>
        <item x="5"/>
        <item x="3"/>
        <item x="1"/>
        <item t="default"/>
      </items>
      <autoSortScope>
        <pivotArea dataOnly="0" outline="0" fieldPosition="0">
          <references count="1">
            <reference field="4294967294" count="1" selected="0">
              <x v="0"/>
            </reference>
          </references>
        </pivotArea>
      </autoSortScope>
    </pivotField>
    <pivotField showAll="0"/>
    <pivotField showAll="0"/>
    <pivotField dataField="1" numFmtId="3"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
  </rowFields>
  <rowItems count="7">
    <i>
      <x v="3"/>
    </i>
    <i>
      <x v="5"/>
    </i>
    <i>
      <x/>
    </i>
    <i>
      <x v="1"/>
    </i>
    <i>
      <x v="2"/>
    </i>
    <i>
      <x v="4"/>
    </i>
    <i t="grand">
      <x/>
    </i>
  </rowItems>
  <colItems count="1">
    <i/>
  </colItems>
  <dataFields count="1">
    <dataField name="Sum of Amount" fld="6" baseField="0" baseItem="0" numFmtId="3"/>
  </dataFields>
  <chartFormats count="5">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ADBF74-C061-4047-9737-596533869534}" name="PivotTable8" cacheId="7"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2">
  <location ref="A1:B14"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Amount" fld="6" baseField="0" baseItem="0" numFmtId="3"/>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1" xr10:uid="{C6FEDFFA-ABC8-437E-BA2C-17CD78C3DC5F}" sourceName="Products">
  <pivotTables>
    <pivotTable tabId="3" name="PivotTable8"/>
    <pivotTable tabId="3" name="PivotTable9"/>
    <pivotTable tabId="3" name="PivotTable1"/>
    <pivotTable tabId="3" name="PivotTable3"/>
    <pivotTable tabId="3" name="PivotTable10"/>
    <pivotTable tabId="3" name="PivotTable11"/>
    <pivotTable tabId="3" name="PivotTable12"/>
    <pivotTable tabId="3" name="PivotTable13"/>
    <pivotTable tabId="3" name="PivotTable14"/>
    <pivotTable tabId="3" name="PivotTable15"/>
  </pivotTables>
  <data>
    <tabular pivotCacheId="1810246450">
      <items count="6">
        <i x="2" s="1"/>
        <i x="0" s="1"/>
        <i x="4" s="1"/>
        <i x="1"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1" xr10:uid="{E6FB5902-EF39-438B-A7A5-F6A696E402CD}" sourceName="Place">
  <pivotTables>
    <pivotTable tabId="3" name="PivotTable8"/>
    <pivotTable tabId="3" name="PivotTable9"/>
    <pivotTable tabId="3" name="PivotTable1"/>
    <pivotTable tabId="3" name="PivotTable3"/>
    <pivotTable tabId="3" name="PivotTable10"/>
    <pivotTable tabId="3" name="PivotTable11"/>
    <pivotTable tabId="3" name="PivotTable12"/>
    <pivotTable tabId="3" name="PivotTable13"/>
    <pivotTable tabId="3" name="PivotTable14"/>
    <pivotTable tabId="3" name="PivotTable15"/>
  </pivotTables>
  <data>
    <tabular pivotCacheId="1810246450">
      <items count="6">
        <i x="2" s="1"/>
        <i x="4" s="1"/>
        <i x="0" s="1"/>
        <i x="5"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4" xr10:uid="{1AEAEBFA-24CD-46D1-8098-7B3A214554CE}" cache="Slicer_Products1" caption="Products" columnCount="6" rowHeight="241300"/>
  <slicer name="Place 5" xr10:uid="{8303FBB5-1729-48A9-A6DF-4BFACC63151D}" cache="Slicer_Place1" caption="Place"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5" xr10:uid="{684DB655-66D9-4F13-9301-7B3EB71798C3}" cache="Slicer_Products1" caption="Products" columnCount="6" rowHeight="241300"/>
  <slicer name="Place 6" xr10:uid="{C1460A3E-CA74-4818-A083-381A277333EE}" cache="Slicer_Place1" caption="Place" columnCount="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3" xr10:uid="{5A773621-719B-429D-926E-2D2F480385B5}" cache="Slicer_Products1" caption="Products" columnCount="6" rowHeight="241300"/>
  <slicer name="Place 4" xr10:uid="{4DF488D6-01A4-4EB3-AA5D-ACD878FFF55E}" cache="Slicer_Place1" caption="Place" columnCount="3"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2" xr10:uid="{BF9DA8AF-734C-473F-A3E8-29096DC2AE2F}" cache="Slicer_Products1" caption="Products" columnCount="6" rowHeight="241300"/>
  <slicer name="Place 3" xr10:uid="{EB7A23CB-4BB3-4B21-A8E8-68971AE038C5}" cache="Slicer_Place1" caption="Place" columnCoun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BB38CA4B-DF22-4073-8D3B-2954A4C63DFD}" sourceName="Date">
  <pivotTables>
    <pivotTable tabId="3" name="PivotTable8"/>
    <pivotTable tabId="3" name="PivotTable9"/>
    <pivotTable tabId="3" name="PivotTable1"/>
    <pivotTable tabId="3" name="PivotTable3"/>
    <pivotTable tabId="3" name="PivotTable10"/>
    <pivotTable tabId="3" name="PivotTable11"/>
    <pivotTable tabId="3" name="PivotTable12"/>
    <pivotTable tabId="3" name="PivotTable13"/>
    <pivotTable tabId="3" name="PivotTable14"/>
    <pivotTable tabId="3" name="PivotTable15"/>
  </pivotTables>
  <state minimalRefreshVersion="6" lastRefreshVersion="6" pivotCacheId="1810246450"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7801CFFA-E73E-4108-BFFB-026E8057A0C5}" cache="NativeTimeline_Date1" caption="Date" level="2" selectionLevel="2" scrollPosition="2021-12-10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07018F5D-41D8-49CF-8229-9081336515B6}" cache="NativeTimeline_Date1" caption="Date" level="2" selectionLevel="2" scrollPosition="2021-12-10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F7A78764-D131-4C5A-928F-C20731FA9643}" cache="NativeTimeline_Date1" caption="Date" level="2" selectionLevel="2" scrollPosition="2021-12-10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4AFAE1A-D041-47A6-AE0C-8E0D526A9CCD}" cache="NativeTimeline_Date1" caption="Date" level="2" selectionLevel="2" scrollPosition="2021-12-10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5.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79DAC-4538-434D-9DCD-95461A41EFA6}">
  <dimension ref="A1"/>
  <sheetViews>
    <sheetView workbookViewId="0">
      <selection activeCell="K39" sqref="K3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5E5EE-025C-4233-98A0-5FF9D4943508}">
  <dimension ref="A1"/>
  <sheetViews>
    <sheetView showGridLines="0" tabSelected="1" topLeftCell="C6"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63FD-D84A-4756-B0B2-8DF7484852AA}">
  <dimension ref="A1"/>
  <sheetViews>
    <sheetView topLeftCell="A6"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workbookViewId="0">
      <selection activeCell="C12" sqref="A1:XFD1048576"/>
    </sheetView>
  </sheetViews>
  <sheetFormatPr defaultRowHeight="14.5" x14ac:dyDescent="0.35"/>
  <cols>
    <col min="1" max="1" width="11.1796875" customWidth="1"/>
    <col min="2" max="2" width="16.08984375" customWidth="1"/>
    <col min="3" max="3" width="11.453125" customWidth="1"/>
    <col min="4" max="4" width="11.54296875" customWidth="1"/>
    <col min="5" max="6" width="6.54296875" customWidth="1"/>
    <col min="7" max="7" width="9.90625" customWidth="1"/>
  </cols>
  <sheetData>
    <row r="1" spans="1:7" ht="18.5" x14ac:dyDescent="0.45">
      <c r="A1" s="1" t="s">
        <v>0</v>
      </c>
      <c r="B1" s="2" t="s">
        <v>1</v>
      </c>
      <c r="C1" s="2" t="s">
        <v>2</v>
      </c>
      <c r="D1" s="2" t="s">
        <v>3</v>
      </c>
      <c r="E1" s="2" t="s">
        <v>4</v>
      </c>
      <c r="F1" s="2" t="s">
        <v>5</v>
      </c>
      <c r="G1" s="2" t="s">
        <v>6</v>
      </c>
    </row>
    <row r="2" spans="1:7" ht="15.5" x14ac:dyDescent="0.35">
      <c r="A2" s="3">
        <v>43831</v>
      </c>
      <c r="B2" s="4" t="s">
        <v>7</v>
      </c>
      <c r="C2" s="4" t="s">
        <v>8</v>
      </c>
      <c r="D2" s="4" t="s">
        <v>9</v>
      </c>
      <c r="E2" s="4">
        <v>499</v>
      </c>
      <c r="F2" s="4">
        <v>50</v>
      </c>
      <c r="G2" s="5">
        <f>E2*F2</f>
        <v>24950</v>
      </c>
    </row>
    <row r="3" spans="1:7" ht="15.5" x14ac:dyDescent="0.35">
      <c r="A3" s="6">
        <v>43835</v>
      </c>
      <c r="B3" s="7" t="s">
        <v>10</v>
      </c>
      <c r="C3" s="7" t="s">
        <v>8</v>
      </c>
      <c r="D3" s="7" t="s">
        <v>11</v>
      </c>
      <c r="E3" s="7">
        <v>5599</v>
      </c>
      <c r="F3" s="7">
        <v>33</v>
      </c>
      <c r="G3" s="8">
        <f t="shared" ref="G3:G66" si="0">E3*F3</f>
        <v>184767</v>
      </c>
    </row>
    <row r="4" spans="1:7" ht="15.5" x14ac:dyDescent="0.35">
      <c r="A4" s="3">
        <v>43839</v>
      </c>
      <c r="B4" s="4" t="s">
        <v>12</v>
      </c>
      <c r="C4" s="4" t="s">
        <v>13</v>
      </c>
      <c r="D4" s="4" t="s">
        <v>14</v>
      </c>
      <c r="E4" s="4">
        <v>1450</v>
      </c>
      <c r="F4" s="4">
        <v>44</v>
      </c>
      <c r="G4" s="5">
        <f t="shared" si="0"/>
        <v>63800</v>
      </c>
    </row>
    <row r="5" spans="1:7" ht="15.5" x14ac:dyDescent="0.35">
      <c r="A5" s="6">
        <v>43843</v>
      </c>
      <c r="B5" s="7" t="s">
        <v>15</v>
      </c>
      <c r="C5" s="7" t="s">
        <v>16</v>
      </c>
      <c r="D5" s="7" t="s">
        <v>9</v>
      </c>
      <c r="E5" s="7">
        <v>85000</v>
      </c>
      <c r="F5" s="7">
        <v>50</v>
      </c>
      <c r="G5" s="8">
        <f t="shared" si="0"/>
        <v>4250000</v>
      </c>
    </row>
    <row r="6" spans="1:7" ht="15.5" x14ac:dyDescent="0.35">
      <c r="A6" s="3">
        <v>43847</v>
      </c>
      <c r="B6" s="4" t="s">
        <v>15</v>
      </c>
      <c r="C6" s="4" t="s">
        <v>17</v>
      </c>
      <c r="D6" s="4" t="s">
        <v>18</v>
      </c>
      <c r="E6" s="4">
        <v>15000</v>
      </c>
      <c r="F6" s="4">
        <v>11</v>
      </c>
      <c r="G6" s="5">
        <f t="shared" si="0"/>
        <v>165000</v>
      </c>
    </row>
    <row r="7" spans="1:7" ht="15.5" x14ac:dyDescent="0.35">
      <c r="A7" s="6">
        <v>43851</v>
      </c>
      <c r="B7" s="7" t="s">
        <v>10</v>
      </c>
      <c r="C7" s="7" t="s">
        <v>8</v>
      </c>
      <c r="D7" s="7" t="s">
        <v>18</v>
      </c>
      <c r="E7" s="7">
        <v>2550</v>
      </c>
      <c r="F7" s="7">
        <v>48</v>
      </c>
      <c r="G7" s="8">
        <f t="shared" si="0"/>
        <v>122400</v>
      </c>
    </row>
    <row r="8" spans="1:7" ht="15.5" x14ac:dyDescent="0.35">
      <c r="A8" s="3">
        <v>43855</v>
      </c>
      <c r="B8" s="4" t="s">
        <v>19</v>
      </c>
      <c r="C8" s="4" t="s">
        <v>20</v>
      </c>
      <c r="D8" s="4" t="s">
        <v>14</v>
      </c>
      <c r="E8" s="4">
        <v>33000</v>
      </c>
      <c r="F8" s="4">
        <v>26</v>
      </c>
      <c r="G8" s="5">
        <f t="shared" si="0"/>
        <v>858000</v>
      </c>
    </row>
    <row r="9" spans="1:7" ht="15.5" x14ac:dyDescent="0.35">
      <c r="A9" s="6">
        <v>43859</v>
      </c>
      <c r="B9" s="7" t="s">
        <v>7</v>
      </c>
      <c r="C9" s="7" t="s">
        <v>16</v>
      </c>
      <c r="D9" s="7" t="s">
        <v>21</v>
      </c>
      <c r="E9" s="7">
        <v>86000</v>
      </c>
      <c r="F9" s="7">
        <v>39</v>
      </c>
      <c r="G9" s="8">
        <f t="shared" si="0"/>
        <v>3354000</v>
      </c>
    </row>
    <row r="10" spans="1:7" ht="15.5" x14ac:dyDescent="0.35">
      <c r="A10" s="3">
        <v>43863</v>
      </c>
      <c r="B10" s="4" t="s">
        <v>12</v>
      </c>
      <c r="C10" s="4" t="s">
        <v>22</v>
      </c>
      <c r="D10" s="4" t="s">
        <v>18</v>
      </c>
      <c r="E10" s="4">
        <v>990</v>
      </c>
      <c r="F10" s="4">
        <v>9</v>
      </c>
      <c r="G10" s="5">
        <f t="shared" si="0"/>
        <v>8910</v>
      </c>
    </row>
    <row r="11" spans="1:7" ht="15.5" x14ac:dyDescent="0.35">
      <c r="A11" s="6">
        <v>43867</v>
      </c>
      <c r="B11" s="7" t="s">
        <v>7</v>
      </c>
      <c r="C11" s="7" t="s">
        <v>8</v>
      </c>
      <c r="D11" s="7" t="s">
        <v>9</v>
      </c>
      <c r="E11" s="7">
        <v>5599</v>
      </c>
      <c r="F11" s="7">
        <v>41</v>
      </c>
      <c r="G11" s="8">
        <f t="shared" si="0"/>
        <v>229559</v>
      </c>
    </row>
    <row r="12" spans="1:7" ht="15.5" x14ac:dyDescent="0.35">
      <c r="A12" s="3">
        <v>43871</v>
      </c>
      <c r="B12" s="4" t="s">
        <v>19</v>
      </c>
      <c r="C12" s="4" t="s">
        <v>20</v>
      </c>
      <c r="D12" s="4" t="s">
        <v>14</v>
      </c>
      <c r="E12" s="4">
        <v>499</v>
      </c>
      <c r="F12" s="4">
        <v>39</v>
      </c>
      <c r="G12" s="5">
        <f t="shared" si="0"/>
        <v>19461</v>
      </c>
    </row>
    <row r="13" spans="1:7" ht="15.5" x14ac:dyDescent="0.35">
      <c r="A13" s="6">
        <v>43875</v>
      </c>
      <c r="B13" s="7" t="s">
        <v>10</v>
      </c>
      <c r="C13" s="7" t="s">
        <v>22</v>
      </c>
      <c r="D13" s="7" t="s">
        <v>9</v>
      </c>
      <c r="E13" s="7">
        <v>1999</v>
      </c>
      <c r="F13" s="7">
        <v>4</v>
      </c>
      <c r="G13" s="8">
        <f t="shared" si="0"/>
        <v>7996</v>
      </c>
    </row>
    <row r="14" spans="1:7" ht="15.5" x14ac:dyDescent="0.35">
      <c r="A14" s="3">
        <v>43879</v>
      </c>
      <c r="B14" s="4" t="s">
        <v>15</v>
      </c>
      <c r="C14" s="4" t="s">
        <v>16</v>
      </c>
      <c r="D14" s="4" t="s">
        <v>9</v>
      </c>
      <c r="E14" s="4">
        <v>63400</v>
      </c>
      <c r="F14" s="4">
        <v>8</v>
      </c>
      <c r="G14" s="5">
        <f t="shared" si="0"/>
        <v>507200</v>
      </c>
    </row>
    <row r="15" spans="1:7" ht="15.5" x14ac:dyDescent="0.35">
      <c r="A15" s="6">
        <v>43883</v>
      </c>
      <c r="B15" s="7" t="s">
        <v>23</v>
      </c>
      <c r="C15" s="7" t="s">
        <v>22</v>
      </c>
      <c r="D15" s="7" t="s">
        <v>18</v>
      </c>
      <c r="E15" s="7">
        <v>1499</v>
      </c>
      <c r="F15" s="7">
        <v>27</v>
      </c>
      <c r="G15" s="8">
        <f t="shared" si="0"/>
        <v>40473</v>
      </c>
    </row>
    <row r="16" spans="1:7" ht="15.5" x14ac:dyDescent="0.35">
      <c r="A16" s="3">
        <v>43887</v>
      </c>
      <c r="B16" s="4" t="s">
        <v>15</v>
      </c>
      <c r="C16" s="4" t="s">
        <v>17</v>
      </c>
      <c r="D16" s="4" t="s">
        <v>14</v>
      </c>
      <c r="E16" s="4">
        <v>120</v>
      </c>
      <c r="F16" s="4">
        <v>10</v>
      </c>
      <c r="G16" s="5">
        <f t="shared" si="0"/>
        <v>1200</v>
      </c>
    </row>
    <row r="17" spans="1:7" ht="15.5" x14ac:dyDescent="0.35">
      <c r="A17" s="6">
        <v>43891</v>
      </c>
      <c r="B17" s="7" t="s">
        <v>10</v>
      </c>
      <c r="C17" s="7" t="s">
        <v>20</v>
      </c>
      <c r="D17" s="7" t="s">
        <v>21</v>
      </c>
      <c r="E17" s="7">
        <v>11999</v>
      </c>
      <c r="F17" s="7">
        <v>17</v>
      </c>
      <c r="G17" s="8">
        <f t="shared" si="0"/>
        <v>203983</v>
      </c>
    </row>
    <row r="18" spans="1:7" ht="15.5" x14ac:dyDescent="0.35">
      <c r="A18" s="3">
        <v>43895</v>
      </c>
      <c r="B18" s="4" t="s">
        <v>12</v>
      </c>
      <c r="C18" s="4" t="s">
        <v>16</v>
      </c>
      <c r="D18" s="4" t="s">
        <v>11</v>
      </c>
      <c r="E18" s="4">
        <v>47500</v>
      </c>
      <c r="F18" s="4">
        <v>27</v>
      </c>
      <c r="G18" s="5">
        <f t="shared" si="0"/>
        <v>1282500</v>
      </c>
    </row>
    <row r="19" spans="1:7" ht="15.5" x14ac:dyDescent="0.35">
      <c r="A19" s="6">
        <v>43899</v>
      </c>
      <c r="B19" s="7" t="s">
        <v>19</v>
      </c>
      <c r="C19" s="7" t="s">
        <v>20</v>
      </c>
      <c r="D19" s="7" t="s">
        <v>11</v>
      </c>
      <c r="E19" s="7">
        <v>2999</v>
      </c>
      <c r="F19" s="7">
        <v>43</v>
      </c>
      <c r="G19" s="8">
        <f t="shared" si="0"/>
        <v>128957</v>
      </c>
    </row>
    <row r="20" spans="1:7" ht="15.5" x14ac:dyDescent="0.35">
      <c r="A20" s="3">
        <v>43903</v>
      </c>
      <c r="B20" s="4" t="s">
        <v>15</v>
      </c>
      <c r="C20" s="4" t="s">
        <v>17</v>
      </c>
      <c r="D20" s="4" t="s">
        <v>11</v>
      </c>
      <c r="E20" s="4">
        <v>8900</v>
      </c>
      <c r="F20" s="4">
        <v>9</v>
      </c>
      <c r="G20" s="5">
        <f t="shared" si="0"/>
        <v>80100</v>
      </c>
    </row>
    <row r="21" spans="1:7" ht="15.5" x14ac:dyDescent="0.35">
      <c r="A21" s="6">
        <v>43907</v>
      </c>
      <c r="B21" s="7" t="s">
        <v>10</v>
      </c>
      <c r="C21" s="7" t="s">
        <v>20</v>
      </c>
      <c r="D21" s="7" t="s">
        <v>9</v>
      </c>
      <c r="E21" s="7">
        <v>22000</v>
      </c>
      <c r="F21" s="7">
        <v>42</v>
      </c>
      <c r="G21" s="8">
        <f t="shared" si="0"/>
        <v>924000</v>
      </c>
    </row>
    <row r="22" spans="1:7" ht="15.5" x14ac:dyDescent="0.35">
      <c r="A22" s="3">
        <v>43911</v>
      </c>
      <c r="B22" s="4" t="s">
        <v>12</v>
      </c>
      <c r="C22" s="4" t="s">
        <v>13</v>
      </c>
      <c r="D22" s="4" t="s">
        <v>11</v>
      </c>
      <c r="E22" s="4">
        <v>1250</v>
      </c>
      <c r="F22" s="4">
        <v>6</v>
      </c>
      <c r="G22" s="5">
        <f t="shared" si="0"/>
        <v>7500</v>
      </c>
    </row>
    <row r="23" spans="1:7" ht="15.5" x14ac:dyDescent="0.35">
      <c r="A23" s="6">
        <v>43915</v>
      </c>
      <c r="B23" s="7" t="s">
        <v>15</v>
      </c>
      <c r="C23" s="7" t="s">
        <v>17</v>
      </c>
      <c r="D23" s="7" t="s">
        <v>18</v>
      </c>
      <c r="E23" s="7">
        <v>999</v>
      </c>
      <c r="F23" s="7">
        <v>28</v>
      </c>
      <c r="G23" s="8">
        <f t="shared" si="0"/>
        <v>27972</v>
      </c>
    </row>
    <row r="24" spans="1:7" ht="15.5" x14ac:dyDescent="0.35">
      <c r="A24" s="3">
        <v>43919</v>
      </c>
      <c r="B24" s="4" t="s">
        <v>19</v>
      </c>
      <c r="C24" s="4" t="s">
        <v>13</v>
      </c>
      <c r="D24" s="4" t="s">
        <v>21</v>
      </c>
      <c r="E24" s="4">
        <v>1450</v>
      </c>
      <c r="F24" s="4">
        <v>13</v>
      </c>
      <c r="G24" s="5">
        <f t="shared" si="0"/>
        <v>18850</v>
      </c>
    </row>
    <row r="25" spans="1:7" ht="15.5" x14ac:dyDescent="0.35">
      <c r="A25" s="6">
        <v>43923</v>
      </c>
      <c r="B25" s="7" t="s">
        <v>19</v>
      </c>
      <c r="C25" s="7" t="s">
        <v>13</v>
      </c>
      <c r="D25" s="7" t="s">
        <v>14</v>
      </c>
      <c r="E25" s="7">
        <v>23999</v>
      </c>
      <c r="F25" s="7">
        <v>8</v>
      </c>
      <c r="G25" s="8">
        <f t="shared" si="0"/>
        <v>191992</v>
      </c>
    </row>
    <row r="26" spans="1:7" ht="15.5" x14ac:dyDescent="0.35">
      <c r="A26" s="3">
        <v>43927</v>
      </c>
      <c r="B26" s="4" t="s">
        <v>10</v>
      </c>
      <c r="C26" s="4" t="s">
        <v>16</v>
      </c>
      <c r="D26" s="4" t="s">
        <v>21</v>
      </c>
      <c r="E26" s="4">
        <v>65200</v>
      </c>
      <c r="F26" s="4">
        <v>7</v>
      </c>
      <c r="G26" s="5">
        <f t="shared" si="0"/>
        <v>456400</v>
      </c>
    </row>
    <row r="27" spans="1:7" ht="15.5" x14ac:dyDescent="0.35">
      <c r="A27" s="6">
        <v>43931</v>
      </c>
      <c r="B27" s="7" t="s">
        <v>10</v>
      </c>
      <c r="C27" s="7" t="s">
        <v>22</v>
      </c>
      <c r="D27" s="7" t="s">
        <v>11</v>
      </c>
      <c r="E27" s="7">
        <v>699</v>
      </c>
      <c r="F27" s="7">
        <v>45</v>
      </c>
      <c r="G27" s="8">
        <f t="shared" si="0"/>
        <v>31455</v>
      </c>
    </row>
    <row r="28" spans="1:7" ht="15.5" x14ac:dyDescent="0.35">
      <c r="A28" s="3">
        <v>43935</v>
      </c>
      <c r="B28" s="4" t="s">
        <v>7</v>
      </c>
      <c r="C28" s="4" t="s">
        <v>8</v>
      </c>
      <c r="D28" s="4" t="s">
        <v>9</v>
      </c>
      <c r="E28" s="4">
        <v>2550</v>
      </c>
      <c r="F28" s="4">
        <v>22</v>
      </c>
      <c r="G28" s="5">
        <f t="shared" si="0"/>
        <v>56100</v>
      </c>
    </row>
    <row r="29" spans="1:7" ht="15.5" x14ac:dyDescent="0.35">
      <c r="A29" s="6">
        <v>43939</v>
      </c>
      <c r="B29" s="7" t="s">
        <v>12</v>
      </c>
      <c r="C29" s="7" t="s">
        <v>20</v>
      </c>
      <c r="D29" s="7" t="s">
        <v>21</v>
      </c>
      <c r="E29" s="7">
        <v>22000</v>
      </c>
      <c r="F29" s="7">
        <v>4</v>
      </c>
      <c r="G29" s="8">
        <f t="shared" si="0"/>
        <v>88000</v>
      </c>
    </row>
    <row r="30" spans="1:7" ht="15.5" x14ac:dyDescent="0.35">
      <c r="A30" s="3">
        <v>43943</v>
      </c>
      <c r="B30" s="4" t="s">
        <v>19</v>
      </c>
      <c r="C30" s="4" t="s">
        <v>16</v>
      </c>
      <c r="D30" s="4" t="s">
        <v>9</v>
      </c>
      <c r="E30" s="4">
        <v>22000</v>
      </c>
      <c r="F30" s="4">
        <v>10</v>
      </c>
      <c r="G30" s="5">
        <f t="shared" si="0"/>
        <v>220000</v>
      </c>
    </row>
    <row r="31" spans="1:7" ht="15.5" x14ac:dyDescent="0.35">
      <c r="A31" s="6">
        <v>43947</v>
      </c>
      <c r="B31" s="7" t="s">
        <v>23</v>
      </c>
      <c r="C31" s="7" t="s">
        <v>22</v>
      </c>
      <c r="D31" s="7" t="s">
        <v>18</v>
      </c>
      <c r="E31" s="7">
        <v>1499</v>
      </c>
      <c r="F31" s="7">
        <v>16</v>
      </c>
      <c r="G31" s="8">
        <f t="shared" si="0"/>
        <v>23984</v>
      </c>
    </row>
    <row r="32" spans="1:7" ht="15.5" x14ac:dyDescent="0.35">
      <c r="A32" s="3">
        <v>43951</v>
      </c>
      <c r="B32" s="4" t="s">
        <v>10</v>
      </c>
      <c r="C32" s="4" t="s">
        <v>17</v>
      </c>
      <c r="D32" s="4" t="s">
        <v>21</v>
      </c>
      <c r="E32" s="4">
        <v>120</v>
      </c>
      <c r="F32" s="4">
        <v>22</v>
      </c>
      <c r="G32" s="5">
        <f t="shared" si="0"/>
        <v>2640</v>
      </c>
    </row>
    <row r="33" spans="1:7" ht="15.5" x14ac:dyDescent="0.35">
      <c r="A33" s="6">
        <v>43955</v>
      </c>
      <c r="B33" s="7" t="s">
        <v>7</v>
      </c>
      <c r="C33" s="7" t="s">
        <v>8</v>
      </c>
      <c r="D33" s="7" t="s">
        <v>14</v>
      </c>
      <c r="E33" s="7">
        <v>1450</v>
      </c>
      <c r="F33" s="7">
        <v>20</v>
      </c>
      <c r="G33" s="8">
        <f t="shared" si="0"/>
        <v>29000</v>
      </c>
    </row>
    <row r="34" spans="1:7" ht="15.5" x14ac:dyDescent="0.35">
      <c r="A34" s="3">
        <v>43959</v>
      </c>
      <c r="B34" s="4" t="s">
        <v>23</v>
      </c>
      <c r="C34" s="4" t="s">
        <v>22</v>
      </c>
      <c r="D34" s="4" t="s">
        <v>18</v>
      </c>
      <c r="E34" s="4">
        <v>1999</v>
      </c>
      <c r="F34" s="4">
        <v>23</v>
      </c>
      <c r="G34" s="5">
        <f t="shared" si="0"/>
        <v>45977</v>
      </c>
    </row>
    <row r="35" spans="1:7" ht="15.5" x14ac:dyDescent="0.35">
      <c r="A35" s="6">
        <v>43963</v>
      </c>
      <c r="B35" s="7" t="s">
        <v>10</v>
      </c>
      <c r="C35" s="7" t="s">
        <v>8</v>
      </c>
      <c r="D35" s="7" t="s">
        <v>9</v>
      </c>
      <c r="E35" s="7">
        <v>800</v>
      </c>
      <c r="F35" s="7">
        <v>43</v>
      </c>
      <c r="G35" s="8">
        <f t="shared" si="0"/>
        <v>34400</v>
      </c>
    </row>
    <row r="36" spans="1:7" ht="15.5" x14ac:dyDescent="0.35">
      <c r="A36" s="3">
        <v>43967</v>
      </c>
      <c r="B36" s="4" t="s">
        <v>12</v>
      </c>
      <c r="C36" s="4" t="s">
        <v>17</v>
      </c>
      <c r="D36" s="4" t="s">
        <v>18</v>
      </c>
      <c r="E36" s="4">
        <v>18000</v>
      </c>
      <c r="F36" s="4">
        <v>41</v>
      </c>
      <c r="G36" s="5">
        <f t="shared" si="0"/>
        <v>738000</v>
      </c>
    </row>
    <row r="37" spans="1:7" ht="15.5" x14ac:dyDescent="0.35">
      <c r="A37" s="6">
        <v>43971</v>
      </c>
      <c r="B37" s="7" t="s">
        <v>7</v>
      </c>
      <c r="C37" s="7" t="s">
        <v>8</v>
      </c>
      <c r="D37" s="7" t="s">
        <v>11</v>
      </c>
      <c r="E37" s="7">
        <v>13999</v>
      </c>
      <c r="F37" s="7">
        <v>37</v>
      </c>
      <c r="G37" s="8">
        <f t="shared" si="0"/>
        <v>517963</v>
      </c>
    </row>
    <row r="38" spans="1:7" ht="15.5" x14ac:dyDescent="0.35">
      <c r="A38" s="3">
        <v>43975</v>
      </c>
      <c r="B38" s="4" t="s">
        <v>10</v>
      </c>
      <c r="C38" s="4" t="s">
        <v>20</v>
      </c>
      <c r="D38" s="4" t="s">
        <v>18</v>
      </c>
      <c r="E38" s="4">
        <v>22000</v>
      </c>
      <c r="F38" s="4">
        <v>45</v>
      </c>
      <c r="G38" s="5">
        <f t="shared" si="0"/>
        <v>990000</v>
      </c>
    </row>
    <row r="39" spans="1:7" ht="15.5" x14ac:dyDescent="0.35">
      <c r="A39" s="6">
        <v>43979</v>
      </c>
      <c r="B39" s="7" t="s">
        <v>19</v>
      </c>
      <c r="C39" s="7" t="s">
        <v>16</v>
      </c>
      <c r="D39" s="7" t="s">
        <v>9</v>
      </c>
      <c r="E39" s="7">
        <v>89999</v>
      </c>
      <c r="F39" s="7">
        <v>15</v>
      </c>
      <c r="G39" s="8">
        <f t="shared" si="0"/>
        <v>1349985</v>
      </c>
    </row>
    <row r="40" spans="1:7" ht="15.5" x14ac:dyDescent="0.35">
      <c r="A40" s="3">
        <v>43983</v>
      </c>
      <c r="B40" s="4" t="s">
        <v>7</v>
      </c>
      <c r="C40" s="4" t="s">
        <v>8</v>
      </c>
      <c r="D40" s="4" t="s">
        <v>14</v>
      </c>
      <c r="E40" s="4">
        <v>13999</v>
      </c>
      <c r="F40" s="4">
        <v>22</v>
      </c>
      <c r="G40" s="5">
        <f t="shared" si="0"/>
        <v>307978</v>
      </c>
    </row>
    <row r="41" spans="1:7" ht="15.5" x14ac:dyDescent="0.35">
      <c r="A41" s="6">
        <v>43987</v>
      </c>
      <c r="B41" s="7" t="s">
        <v>12</v>
      </c>
      <c r="C41" s="7" t="s">
        <v>22</v>
      </c>
      <c r="D41" s="7" t="s">
        <v>11</v>
      </c>
      <c r="E41" s="7">
        <v>2900</v>
      </c>
      <c r="F41" s="7">
        <v>20</v>
      </c>
      <c r="G41" s="8">
        <f t="shared" si="0"/>
        <v>58000</v>
      </c>
    </row>
    <row r="42" spans="1:7" ht="15.5" x14ac:dyDescent="0.35">
      <c r="A42" s="3">
        <v>43991</v>
      </c>
      <c r="B42" s="4" t="s">
        <v>10</v>
      </c>
      <c r="C42" s="4" t="s">
        <v>20</v>
      </c>
      <c r="D42" s="4" t="s">
        <v>18</v>
      </c>
      <c r="E42" s="4">
        <v>33000</v>
      </c>
      <c r="F42" s="4">
        <v>16</v>
      </c>
      <c r="G42" s="5">
        <f t="shared" si="0"/>
        <v>528000</v>
      </c>
    </row>
    <row r="43" spans="1:7" ht="15.5" x14ac:dyDescent="0.35">
      <c r="A43" s="6">
        <v>43995</v>
      </c>
      <c r="B43" s="7" t="s">
        <v>12</v>
      </c>
      <c r="C43" s="7" t="s">
        <v>20</v>
      </c>
      <c r="D43" s="7" t="s">
        <v>11</v>
      </c>
      <c r="E43" s="7">
        <v>22000</v>
      </c>
      <c r="F43" s="7">
        <v>17</v>
      </c>
      <c r="G43" s="8">
        <f t="shared" si="0"/>
        <v>374000</v>
      </c>
    </row>
    <row r="44" spans="1:7" ht="15.5" x14ac:dyDescent="0.35">
      <c r="A44" s="3">
        <v>43999</v>
      </c>
      <c r="B44" s="4" t="s">
        <v>23</v>
      </c>
      <c r="C44" s="4" t="s">
        <v>22</v>
      </c>
      <c r="D44" s="4" t="s">
        <v>11</v>
      </c>
      <c r="E44" s="4">
        <v>699</v>
      </c>
      <c r="F44" s="4">
        <v>50</v>
      </c>
      <c r="G44" s="5">
        <f t="shared" si="0"/>
        <v>34950</v>
      </c>
    </row>
    <row r="45" spans="1:7" ht="15.5" x14ac:dyDescent="0.35">
      <c r="A45" s="6">
        <v>44003</v>
      </c>
      <c r="B45" s="7" t="s">
        <v>19</v>
      </c>
      <c r="C45" s="7" t="s">
        <v>20</v>
      </c>
      <c r="D45" s="7" t="s">
        <v>14</v>
      </c>
      <c r="E45" s="7">
        <v>499</v>
      </c>
      <c r="F45" s="7">
        <v>4</v>
      </c>
      <c r="G45" s="8">
        <f t="shared" si="0"/>
        <v>1996</v>
      </c>
    </row>
    <row r="46" spans="1:7" ht="15.5" x14ac:dyDescent="0.35">
      <c r="A46" s="3">
        <v>44007</v>
      </c>
      <c r="B46" s="4" t="s">
        <v>10</v>
      </c>
      <c r="C46" s="4" t="s">
        <v>22</v>
      </c>
      <c r="D46" s="4" t="s">
        <v>18</v>
      </c>
      <c r="E46" s="4">
        <v>590</v>
      </c>
      <c r="F46" s="4">
        <v>43</v>
      </c>
      <c r="G46" s="5">
        <f t="shared" si="0"/>
        <v>25370</v>
      </c>
    </row>
    <row r="47" spans="1:7" ht="15.5" x14ac:dyDescent="0.35">
      <c r="A47" s="6">
        <v>44011</v>
      </c>
      <c r="B47" s="7" t="s">
        <v>23</v>
      </c>
      <c r="C47" s="7" t="s">
        <v>22</v>
      </c>
      <c r="D47" s="7" t="s">
        <v>11</v>
      </c>
      <c r="E47" s="7">
        <v>590</v>
      </c>
      <c r="F47" s="7">
        <v>42</v>
      </c>
      <c r="G47" s="8">
        <f t="shared" si="0"/>
        <v>24780</v>
      </c>
    </row>
    <row r="48" spans="1:7" ht="15.5" x14ac:dyDescent="0.35">
      <c r="A48" s="3">
        <v>44015</v>
      </c>
      <c r="B48" s="4" t="s">
        <v>10</v>
      </c>
      <c r="C48" s="4" t="s">
        <v>16</v>
      </c>
      <c r="D48" s="4" t="s">
        <v>9</v>
      </c>
      <c r="E48" s="4">
        <v>120</v>
      </c>
      <c r="F48" s="4">
        <v>9</v>
      </c>
      <c r="G48" s="5">
        <f t="shared" si="0"/>
        <v>1080</v>
      </c>
    </row>
    <row r="49" spans="1:7" ht="15.5" x14ac:dyDescent="0.35">
      <c r="A49" s="6">
        <v>44019</v>
      </c>
      <c r="B49" s="7" t="s">
        <v>19</v>
      </c>
      <c r="C49" s="7" t="s">
        <v>20</v>
      </c>
      <c r="D49" s="7" t="s">
        <v>21</v>
      </c>
      <c r="E49" s="7">
        <v>52000</v>
      </c>
      <c r="F49" s="7">
        <v>40</v>
      </c>
      <c r="G49" s="8">
        <f t="shared" si="0"/>
        <v>2080000</v>
      </c>
    </row>
    <row r="50" spans="1:7" ht="15.5" x14ac:dyDescent="0.35">
      <c r="A50" s="3">
        <v>44023</v>
      </c>
      <c r="B50" s="4" t="s">
        <v>12</v>
      </c>
      <c r="C50" s="4" t="s">
        <v>13</v>
      </c>
      <c r="D50" s="4" t="s">
        <v>18</v>
      </c>
      <c r="E50" s="4">
        <v>7999</v>
      </c>
      <c r="F50" s="4">
        <v>14</v>
      </c>
      <c r="G50" s="5">
        <f t="shared" si="0"/>
        <v>111986</v>
      </c>
    </row>
    <row r="51" spans="1:7" ht="15.5" x14ac:dyDescent="0.35">
      <c r="A51" s="6">
        <v>44027</v>
      </c>
      <c r="B51" s="7" t="s">
        <v>10</v>
      </c>
      <c r="C51" s="7" t="s">
        <v>13</v>
      </c>
      <c r="D51" s="7" t="s">
        <v>21</v>
      </c>
      <c r="E51" s="7">
        <v>550</v>
      </c>
      <c r="F51" s="7">
        <v>9</v>
      </c>
      <c r="G51" s="8">
        <f t="shared" si="0"/>
        <v>4950</v>
      </c>
    </row>
    <row r="52" spans="1:7" ht="15.5" x14ac:dyDescent="0.35">
      <c r="A52" s="3">
        <v>44031</v>
      </c>
      <c r="B52" s="4" t="s">
        <v>12</v>
      </c>
      <c r="C52" s="4" t="s">
        <v>16</v>
      </c>
      <c r="D52" s="4" t="s">
        <v>18</v>
      </c>
      <c r="E52" s="4">
        <v>79999</v>
      </c>
      <c r="F52" s="4">
        <v>10</v>
      </c>
      <c r="G52" s="5">
        <f t="shared" si="0"/>
        <v>799990</v>
      </c>
    </row>
    <row r="53" spans="1:7" ht="15.5" x14ac:dyDescent="0.35">
      <c r="A53" s="6">
        <v>44035</v>
      </c>
      <c r="B53" s="7" t="s">
        <v>23</v>
      </c>
      <c r="C53" s="7" t="s">
        <v>22</v>
      </c>
      <c r="D53" s="7" t="s">
        <v>18</v>
      </c>
      <c r="E53" s="7">
        <v>1999</v>
      </c>
      <c r="F53" s="7">
        <v>37</v>
      </c>
      <c r="G53" s="8">
        <f t="shared" si="0"/>
        <v>73963</v>
      </c>
    </row>
    <row r="54" spans="1:7" ht="15.5" x14ac:dyDescent="0.35">
      <c r="A54" s="3">
        <v>44039</v>
      </c>
      <c r="B54" s="4" t="s">
        <v>19</v>
      </c>
      <c r="C54" s="4" t="s">
        <v>20</v>
      </c>
      <c r="D54" s="4" t="s">
        <v>14</v>
      </c>
      <c r="E54" s="4">
        <v>89999</v>
      </c>
      <c r="F54" s="4">
        <v>29</v>
      </c>
      <c r="G54" s="5">
        <f t="shared" si="0"/>
        <v>2609971</v>
      </c>
    </row>
    <row r="55" spans="1:7" ht="15.5" x14ac:dyDescent="0.35">
      <c r="A55" s="6">
        <v>44043</v>
      </c>
      <c r="B55" s="7" t="s">
        <v>10</v>
      </c>
      <c r="C55" s="7" t="s">
        <v>16</v>
      </c>
      <c r="D55" s="7" t="s">
        <v>18</v>
      </c>
      <c r="E55" s="7">
        <v>78500</v>
      </c>
      <c r="F55" s="7">
        <v>44</v>
      </c>
      <c r="G55" s="8">
        <f t="shared" si="0"/>
        <v>3454000</v>
      </c>
    </row>
    <row r="56" spans="1:7" ht="15.5" x14ac:dyDescent="0.35">
      <c r="A56" s="3">
        <v>44047</v>
      </c>
      <c r="B56" s="4" t="s">
        <v>19</v>
      </c>
      <c r="C56" s="4" t="s">
        <v>20</v>
      </c>
      <c r="D56" s="4" t="s">
        <v>11</v>
      </c>
      <c r="E56" s="4">
        <v>3990</v>
      </c>
      <c r="F56" s="4">
        <v>31</v>
      </c>
      <c r="G56" s="5">
        <f t="shared" si="0"/>
        <v>123690</v>
      </c>
    </row>
    <row r="57" spans="1:7" ht="15.5" x14ac:dyDescent="0.35">
      <c r="A57" s="6">
        <v>44051</v>
      </c>
      <c r="B57" s="7" t="s">
        <v>12</v>
      </c>
      <c r="C57" s="7" t="s">
        <v>20</v>
      </c>
      <c r="D57" s="7" t="s">
        <v>18</v>
      </c>
      <c r="E57" s="7">
        <v>52000</v>
      </c>
      <c r="F57" s="7">
        <v>29</v>
      </c>
      <c r="G57" s="8">
        <f t="shared" si="0"/>
        <v>1508000</v>
      </c>
    </row>
    <row r="58" spans="1:7" ht="15.5" x14ac:dyDescent="0.35">
      <c r="A58" s="3">
        <v>44055</v>
      </c>
      <c r="B58" s="4" t="s">
        <v>7</v>
      </c>
      <c r="C58" s="4" t="s">
        <v>16</v>
      </c>
      <c r="D58" s="4" t="s">
        <v>18</v>
      </c>
      <c r="E58" s="4">
        <v>13999</v>
      </c>
      <c r="F58" s="4">
        <v>34</v>
      </c>
      <c r="G58" s="5">
        <f t="shared" si="0"/>
        <v>475966</v>
      </c>
    </row>
    <row r="59" spans="1:7" ht="15.5" x14ac:dyDescent="0.35">
      <c r="A59" s="6">
        <v>44059</v>
      </c>
      <c r="B59" s="7" t="s">
        <v>10</v>
      </c>
      <c r="C59" s="7" t="s">
        <v>17</v>
      </c>
      <c r="D59" s="7" t="s">
        <v>11</v>
      </c>
      <c r="E59" s="7">
        <v>120</v>
      </c>
      <c r="F59" s="7">
        <v>29</v>
      </c>
      <c r="G59" s="8">
        <f t="shared" si="0"/>
        <v>3480</v>
      </c>
    </row>
    <row r="60" spans="1:7" ht="15.5" x14ac:dyDescent="0.35">
      <c r="A60" s="3">
        <v>44063</v>
      </c>
      <c r="B60" s="4" t="s">
        <v>19</v>
      </c>
      <c r="C60" s="4" t="s">
        <v>13</v>
      </c>
      <c r="D60" s="4" t="s">
        <v>11</v>
      </c>
      <c r="E60" s="4">
        <v>23999</v>
      </c>
      <c r="F60" s="4">
        <v>25</v>
      </c>
      <c r="G60" s="5">
        <f t="shared" si="0"/>
        <v>599975</v>
      </c>
    </row>
    <row r="61" spans="1:7" ht="15.5" x14ac:dyDescent="0.35">
      <c r="A61" s="6">
        <v>44067</v>
      </c>
      <c r="B61" s="7" t="s">
        <v>19</v>
      </c>
      <c r="C61" s="7" t="s">
        <v>16</v>
      </c>
      <c r="D61" s="7" t="s">
        <v>18</v>
      </c>
      <c r="E61" s="7">
        <v>45000</v>
      </c>
      <c r="F61" s="7">
        <v>31</v>
      </c>
      <c r="G61" s="8">
        <f t="shared" si="0"/>
        <v>1395000</v>
      </c>
    </row>
    <row r="62" spans="1:7" ht="15.5" x14ac:dyDescent="0.35">
      <c r="A62" s="3">
        <v>44071</v>
      </c>
      <c r="B62" s="4" t="s">
        <v>10</v>
      </c>
      <c r="C62" s="4" t="s">
        <v>22</v>
      </c>
      <c r="D62" s="4" t="s">
        <v>11</v>
      </c>
      <c r="E62" s="4">
        <v>450</v>
      </c>
      <c r="F62" s="4">
        <v>16</v>
      </c>
      <c r="G62" s="5">
        <f t="shared" si="0"/>
        <v>7200</v>
      </c>
    </row>
    <row r="63" spans="1:7" ht="15.5" x14ac:dyDescent="0.35">
      <c r="A63" s="6">
        <v>44075</v>
      </c>
      <c r="B63" s="7" t="s">
        <v>15</v>
      </c>
      <c r="C63" s="7" t="s">
        <v>17</v>
      </c>
      <c r="D63" s="7" t="s">
        <v>18</v>
      </c>
      <c r="E63" s="7">
        <v>65000</v>
      </c>
      <c r="F63" s="7">
        <v>48</v>
      </c>
      <c r="G63" s="8">
        <f t="shared" si="0"/>
        <v>3120000</v>
      </c>
    </row>
    <row r="64" spans="1:7" ht="15.5" x14ac:dyDescent="0.35">
      <c r="A64" s="3">
        <v>44079</v>
      </c>
      <c r="B64" s="4" t="s">
        <v>12</v>
      </c>
      <c r="C64" s="4" t="s">
        <v>16</v>
      </c>
      <c r="D64" s="4" t="s">
        <v>21</v>
      </c>
      <c r="E64" s="4">
        <v>35600</v>
      </c>
      <c r="F64" s="4">
        <v>22</v>
      </c>
      <c r="G64" s="5">
        <f t="shared" si="0"/>
        <v>783200</v>
      </c>
    </row>
    <row r="65" spans="1:7" ht="15.5" x14ac:dyDescent="0.35">
      <c r="A65" s="6">
        <v>44083</v>
      </c>
      <c r="B65" s="7" t="s">
        <v>23</v>
      </c>
      <c r="C65" s="7" t="s">
        <v>22</v>
      </c>
      <c r="D65" s="7" t="s">
        <v>14</v>
      </c>
      <c r="E65" s="7">
        <v>699</v>
      </c>
      <c r="F65" s="7">
        <v>6</v>
      </c>
      <c r="G65" s="8">
        <f t="shared" si="0"/>
        <v>4194</v>
      </c>
    </row>
    <row r="66" spans="1:7" ht="15.5" x14ac:dyDescent="0.35">
      <c r="A66" s="3">
        <v>44087</v>
      </c>
      <c r="B66" s="4" t="s">
        <v>10</v>
      </c>
      <c r="C66" s="4" t="s">
        <v>22</v>
      </c>
      <c r="D66" s="4" t="s">
        <v>11</v>
      </c>
      <c r="E66" s="4">
        <v>990</v>
      </c>
      <c r="F66" s="4">
        <v>12</v>
      </c>
      <c r="G66" s="5">
        <f t="shared" si="0"/>
        <v>11880</v>
      </c>
    </row>
    <row r="67" spans="1:7" ht="15.5" x14ac:dyDescent="0.35">
      <c r="A67" s="6">
        <v>44091</v>
      </c>
      <c r="B67" s="7" t="s">
        <v>23</v>
      </c>
      <c r="C67" s="7" t="s">
        <v>16</v>
      </c>
      <c r="D67" s="7" t="s">
        <v>9</v>
      </c>
      <c r="E67" s="7">
        <v>450</v>
      </c>
      <c r="F67" s="7">
        <v>44</v>
      </c>
      <c r="G67" s="8">
        <f t="shared" ref="G67:G130" si="1">E67*F67</f>
        <v>19800</v>
      </c>
    </row>
    <row r="68" spans="1:7" ht="15.5" x14ac:dyDescent="0.35">
      <c r="A68" s="3">
        <v>44095</v>
      </c>
      <c r="B68" s="4" t="s">
        <v>23</v>
      </c>
      <c r="C68" s="4" t="s">
        <v>22</v>
      </c>
      <c r="D68" s="4" t="s">
        <v>14</v>
      </c>
      <c r="E68" s="4">
        <v>1499</v>
      </c>
      <c r="F68" s="4">
        <v>15</v>
      </c>
      <c r="G68" s="5">
        <f t="shared" si="1"/>
        <v>22485</v>
      </c>
    </row>
    <row r="69" spans="1:7" ht="15.5" x14ac:dyDescent="0.35">
      <c r="A69" s="6">
        <v>44099</v>
      </c>
      <c r="B69" s="7" t="s">
        <v>7</v>
      </c>
      <c r="C69" s="7" t="s">
        <v>8</v>
      </c>
      <c r="D69" s="7" t="s">
        <v>21</v>
      </c>
      <c r="E69" s="7">
        <v>499</v>
      </c>
      <c r="F69" s="7">
        <v>26</v>
      </c>
      <c r="G69" s="8">
        <f t="shared" si="1"/>
        <v>12974</v>
      </c>
    </row>
    <row r="70" spans="1:7" ht="15.5" x14ac:dyDescent="0.35">
      <c r="A70" s="3">
        <v>44103</v>
      </c>
      <c r="B70" s="4" t="s">
        <v>12</v>
      </c>
      <c r="C70" s="4" t="s">
        <v>16</v>
      </c>
      <c r="D70" s="4" t="s">
        <v>21</v>
      </c>
      <c r="E70" s="4">
        <v>44000</v>
      </c>
      <c r="F70" s="4">
        <v>16</v>
      </c>
      <c r="G70" s="5">
        <f t="shared" si="1"/>
        <v>704000</v>
      </c>
    </row>
    <row r="71" spans="1:7" ht="15.5" x14ac:dyDescent="0.35">
      <c r="A71" s="6">
        <v>44107</v>
      </c>
      <c r="B71" s="7" t="s">
        <v>7</v>
      </c>
      <c r="C71" s="7" t="s">
        <v>8</v>
      </c>
      <c r="D71" s="7" t="s">
        <v>18</v>
      </c>
      <c r="E71" s="7">
        <v>5599</v>
      </c>
      <c r="F71" s="7">
        <v>35</v>
      </c>
      <c r="G71" s="8">
        <f t="shared" si="1"/>
        <v>195965</v>
      </c>
    </row>
    <row r="72" spans="1:7" ht="15.5" x14ac:dyDescent="0.35">
      <c r="A72" s="3">
        <v>44111</v>
      </c>
      <c r="B72" s="4" t="s">
        <v>15</v>
      </c>
      <c r="C72" s="4" t="s">
        <v>16</v>
      </c>
      <c r="D72" s="4" t="s">
        <v>9</v>
      </c>
      <c r="E72" s="4">
        <v>54100</v>
      </c>
      <c r="F72" s="4">
        <v>36</v>
      </c>
      <c r="G72" s="5">
        <f t="shared" si="1"/>
        <v>1947600</v>
      </c>
    </row>
    <row r="73" spans="1:7" ht="15.5" x14ac:dyDescent="0.35">
      <c r="A73" s="6">
        <v>44115</v>
      </c>
      <c r="B73" s="7" t="s">
        <v>7</v>
      </c>
      <c r="C73" s="7" t="s">
        <v>8</v>
      </c>
      <c r="D73" s="7" t="s">
        <v>14</v>
      </c>
      <c r="E73" s="7">
        <v>2550</v>
      </c>
      <c r="F73" s="7">
        <v>20</v>
      </c>
      <c r="G73" s="8">
        <f t="shared" si="1"/>
        <v>51000</v>
      </c>
    </row>
    <row r="74" spans="1:7" ht="15.5" x14ac:dyDescent="0.35">
      <c r="A74" s="3">
        <v>44119</v>
      </c>
      <c r="B74" s="4" t="s">
        <v>10</v>
      </c>
      <c r="C74" s="4" t="s">
        <v>16</v>
      </c>
      <c r="D74" s="4" t="s">
        <v>14</v>
      </c>
      <c r="E74" s="4">
        <v>1450</v>
      </c>
      <c r="F74" s="4">
        <v>47</v>
      </c>
      <c r="G74" s="5">
        <f t="shared" si="1"/>
        <v>68150</v>
      </c>
    </row>
    <row r="75" spans="1:7" ht="15.5" x14ac:dyDescent="0.35">
      <c r="A75" s="6">
        <v>44123</v>
      </c>
      <c r="B75" s="7" t="s">
        <v>23</v>
      </c>
      <c r="C75" s="7" t="s">
        <v>22</v>
      </c>
      <c r="D75" s="7" t="s">
        <v>18</v>
      </c>
      <c r="E75" s="7">
        <v>2900</v>
      </c>
      <c r="F75" s="7">
        <v>6</v>
      </c>
      <c r="G75" s="8">
        <f t="shared" si="1"/>
        <v>17400</v>
      </c>
    </row>
    <row r="76" spans="1:7" ht="15.5" x14ac:dyDescent="0.35">
      <c r="A76" s="3">
        <v>44127</v>
      </c>
      <c r="B76" s="4" t="s">
        <v>15</v>
      </c>
      <c r="C76" s="4" t="s">
        <v>16</v>
      </c>
      <c r="D76" s="4" t="s">
        <v>21</v>
      </c>
      <c r="E76" s="4">
        <v>65200</v>
      </c>
      <c r="F76" s="4">
        <v>6</v>
      </c>
      <c r="G76" s="5">
        <f t="shared" si="1"/>
        <v>391200</v>
      </c>
    </row>
    <row r="77" spans="1:7" ht="15.5" x14ac:dyDescent="0.35">
      <c r="A77" s="6">
        <v>44131</v>
      </c>
      <c r="B77" s="7" t="s">
        <v>10</v>
      </c>
      <c r="C77" s="7" t="s">
        <v>20</v>
      </c>
      <c r="D77" s="7" t="s">
        <v>21</v>
      </c>
      <c r="E77" s="7">
        <v>52000</v>
      </c>
      <c r="F77" s="7">
        <v>41</v>
      </c>
      <c r="G77" s="8">
        <f t="shared" si="1"/>
        <v>2132000</v>
      </c>
    </row>
    <row r="78" spans="1:7" ht="15.5" x14ac:dyDescent="0.35">
      <c r="A78" s="3">
        <v>44135</v>
      </c>
      <c r="B78" s="4" t="s">
        <v>12</v>
      </c>
      <c r="C78" s="4" t="s">
        <v>16</v>
      </c>
      <c r="D78" s="4" t="s">
        <v>11</v>
      </c>
      <c r="E78" s="4">
        <v>59000</v>
      </c>
      <c r="F78" s="4">
        <v>29</v>
      </c>
      <c r="G78" s="5">
        <f t="shared" si="1"/>
        <v>1711000</v>
      </c>
    </row>
    <row r="79" spans="1:7" ht="15.5" x14ac:dyDescent="0.35">
      <c r="A79" s="6">
        <v>44139</v>
      </c>
      <c r="B79" s="7" t="s">
        <v>19</v>
      </c>
      <c r="C79" s="7" t="s">
        <v>13</v>
      </c>
      <c r="D79" s="7" t="s">
        <v>21</v>
      </c>
      <c r="E79" s="7">
        <v>7999</v>
      </c>
      <c r="F79" s="7">
        <v>31</v>
      </c>
      <c r="G79" s="8">
        <f t="shared" si="1"/>
        <v>247969</v>
      </c>
    </row>
    <row r="80" spans="1:7" ht="15.5" x14ac:dyDescent="0.35">
      <c r="A80" s="3">
        <v>44143</v>
      </c>
      <c r="B80" s="4" t="s">
        <v>10</v>
      </c>
      <c r="C80" s="4" t="s">
        <v>17</v>
      </c>
      <c r="D80" s="4" t="s">
        <v>11</v>
      </c>
      <c r="E80" s="4">
        <v>45000</v>
      </c>
      <c r="F80" s="4">
        <v>34</v>
      </c>
      <c r="G80" s="5">
        <f t="shared" si="1"/>
        <v>1530000</v>
      </c>
    </row>
    <row r="81" spans="1:7" ht="15.5" x14ac:dyDescent="0.35">
      <c r="A81" s="6">
        <v>44147</v>
      </c>
      <c r="B81" s="7" t="s">
        <v>23</v>
      </c>
      <c r="C81" s="7" t="s">
        <v>22</v>
      </c>
      <c r="D81" s="7" t="s">
        <v>9</v>
      </c>
      <c r="E81" s="7">
        <v>990</v>
      </c>
      <c r="F81" s="7">
        <v>43</v>
      </c>
      <c r="G81" s="8">
        <f t="shared" si="1"/>
        <v>42570</v>
      </c>
    </row>
    <row r="82" spans="1:7" ht="15.5" x14ac:dyDescent="0.35">
      <c r="A82" s="3">
        <v>44151</v>
      </c>
      <c r="B82" s="4" t="s">
        <v>19</v>
      </c>
      <c r="C82" s="4" t="s">
        <v>20</v>
      </c>
      <c r="D82" s="4" t="s">
        <v>9</v>
      </c>
      <c r="E82" s="4">
        <v>11999</v>
      </c>
      <c r="F82" s="4">
        <v>37</v>
      </c>
      <c r="G82" s="5">
        <f t="shared" si="1"/>
        <v>443963</v>
      </c>
    </row>
    <row r="83" spans="1:7" ht="15.5" x14ac:dyDescent="0.35">
      <c r="A83" s="6">
        <v>44155</v>
      </c>
      <c r="B83" s="7" t="s">
        <v>19</v>
      </c>
      <c r="C83" s="7" t="s">
        <v>13</v>
      </c>
      <c r="D83" s="7" t="s">
        <v>9</v>
      </c>
      <c r="E83" s="7">
        <v>960</v>
      </c>
      <c r="F83" s="7">
        <v>7</v>
      </c>
      <c r="G83" s="8">
        <f t="shared" si="1"/>
        <v>6720</v>
      </c>
    </row>
    <row r="84" spans="1:7" ht="15.5" x14ac:dyDescent="0.35">
      <c r="A84" s="3">
        <v>44159</v>
      </c>
      <c r="B84" s="4" t="s">
        <v>10</v>
      </c>
      <c r="C84" s="4" t="s">
        <v>8</v>
      </c>
      <c r="D84" s="4" t="s">
        <v>14</v>
      </c>
      <c r="E84" s="4">
        <v>1450</v>
      </c>
      <c r="F84" s="4">
        <v>19</v>
      </c>
      <c r="G84" s="5">
        <f t="shared" si="1"/>
        <v>27550</v>
      </c>
    </row>
    <row r="85" spans="1:7" ht="15.5" x14ac:dyDescent="0.35">
      <c r="A85" s="6">
        <v>44163</v>
      </c>
      <c r="B85" s="7" t="s">
        <v>12</v>
      </c>
      <c r="C85" s="7" t="s">
        <v>16</v>
      </c>
      <c r="D85" s="7" t="s">
        <v>11</v>
      </c>
      <c r="E85" s="7">
        <v>45000</v>
      </c>
      <c r="F85" s="7">
        <v>47</v>
      </c>
      <c r="G85" s="8">
        <f t="shared" si="1"/>
        <v>2115000</v>
      </c>
    </row>
    <row r="86" spans="1:7" ht="15.5" x14ac:dyDescent="0.35">
      <c r="A86" s="3">
        <v>44167</v>
      </c>
      <c r="B86" s="4" t="s">
        <v>10</v>
      </c>
      <c r="C86" s="4" t="s">
        <v>22</v>
      </c>
      <c r="D86" s="4" t="s">
        <v>11</v>
      </c>
      <c r="E86" s="4">
        <v>1499</v>
      </c>
      <c r="F86" s="4">
        <v>37</v>
      </c>
      <c r="G86" s="5">
        <f t="shared" si="1"/>
        <v>55463</v>
      </c>
    </row>
    <row r="87" spans="1:7" ht="15.5" x14ac:dyDescent="0.35">
      <c r="A87" s="6">
        <v>44171</v>
      </c>
      <c r="B87" s="7" t="s">
        <v>19</v>
      </c>
      <c r="C87" s="7" t="s">
        <v>20</v>
      </c>
      <c r="D87" s="7" t="s">
        <v>14</v>
      </c>
      <c r="E87" s="7">
        <v>79999</v>
      </c>
      <c r="F87" s="7">
        <v>4</v>
      </c>
      <c r="G87" s="8">
        <f t="shared" si="1"/>
        <v>319996</v>
      </c>
    </row>
    <row r="88" spans="1:7" ht="15.5" x14ac:dyDescent="0.35">
      <c r="A88" s="3">
        <v>44175</v>
      </c>
      <c r="B88" s="4" t="s">
        <v>15</v>
      </c>
      <c r="C88" s="4" t="s">
        <v>16</v>
      </c>
      <c r="D88" s="4" t="s">
        <v>21</v>
      </c>
      <c r="E88" s="4">
        <v>999</v>
      </c>
      <c r="F88" s="4">
        <v>45</v>
      </c>
      <c r="G88" s="5">
        <f t="shared" si="1"/>
        <v>44955</v>
      </c>
    </row>
    <row r="89" spans="1:7" ht="15.5" x14ac:dyDescent="0.35">
      <c r="A89" s="6">
        <v>44179</v>
      </c>
      <c r="B89" s="7" t="s">
        <v>10</v>
      </c>
      <c r="C89" s="7" t="s">
        <v>20</v>
      </c>
      <c r="D89" s="7" t="s">
        <v>9</v>
      </c>
      <c r="E89" s="7">
        <v>52000</v>
      </c>
      <c r="F89" s="7">
        <v>15</v>
      </c>
      <c r="G89" s="8">
        <f t="shared" si="1"/>
        <v>780000</v>
      </c>
    </row>
    <row r="90" spans="1:7" ht="15.5" x14ac:dyDescent="0.35">
      <c r="A90" s="3">
        <v>44183</v>
      </c>
      <c r="B90" s="4" t="s">
        <v>12</v>
      </c>
      <c r="C90" s="4" t="s">
        <v>16</v>
      </c>
      <c r="D90" s="4" t="s">
        <v>18</v>
      </c>
      <c r="E90" s="4">
        <v>52000</v>
      </c>
      <c r="F90" s="4">
        <v>39</v>
      </c>
      <c r="G90" s="5">
        <f t="shared" si="1"/>
        <v>2028000</v>
      </c>
    </row>
    <row r="91" spans="1:7" ht="15.5" x14ac:dyDescent="0.35">
      <c r="A91" s="6">
        <v>44187</v>
      </c>
      <c r="B91" s="7" t="s">
        <v>19</v>
      </c>
      <c r="C91" s="7" t="s">
        <v>13</v>
      </c>
      <c r="D91" s="7" t="s">
        <v>14</v>
      </c>
      <c r="E91" s="7">
        <v>960</v>
      </c>
      <c r="F91" s="7">
        <v>33</v>
      </c>
      <c r="G91" s="8">
        <f t="shared" si="1"/>
        <v>31680</v>
      </c>
    </row>
    <row r="92" spans="1:7" ht="15.5" x14ac:dyDescent="0.35">
      <c r="A92" s="3">
        <v>44191</v>
      </c>
      <c r="B92" s="4" t="s">
        <v>19</v>
      </c>
      <c r="C92" s="4" t="s">
        <v>16</v>
      </c>
      <c r="D92" s="4" t="s">
        <v>18</v>
      </c>
      <c r="E92" s="4">
        <v>19500</v>
      </c>
      <c r="F92" s="4">
        <v>45</v>
      </c>
      <c r="G92" s="5">
        <f t="shared" si="1"/>
        <v>877500</v>
      </c>
    </row>
    <row r="93" spans="1:7" ht="15.5" x14ac:dyDescent="0.35">
      <c r="A93" s="6">
        <v>44195</v>
      </c>
      <c r="B93" s="7" t="s">
        <v>19</v>
      </c>
      <c r="C93" s="7" t="s">
        <v>20</v>
      </c>
      <c r="D93" s="7" t="s">
        <v>18</v>
      </c>
      <c r="E93" s="7">
        <v>2999</v>
      </c>
      <c r="F93" s="7">
        <v>33</v>
      </c>
      <c r="G93" s="8">
        <f t="shared" si="1"/>
        <v>98967</v>
      </c>
    </row>
    <row r="94" spans="1:7" ht="15.5" x14ac:dyDescent="0.35">
      <c r="A94" s="3">
        <v>44199</v>
      </c>
      <c r="B94" s="4" t="s">
        <v>10</v>
      </c>
      <c r="C94" s="4" t="s">
        <v>13</v>
      </c>
      <c r="D94" s="4" t="s">
        <v>21</v>
      </c>
      <c r="E94" s="4">
        <v>1250</v>
      </c>
      <c r="F94" s="4">
        <v>14</v>
      </c>
      <c r="G94" s="5">
        <f t="shared" si="1"/>
        <v>17500</v>
      </c>
    </row>
    <row r="95" spans="1:7" ht="15.5" x14ac:dyDescent="0.35">
      <c r="A95" s="6">
        <v>44203</v>
      </c>
      <c r="B95" s="7" t="s">
        <v>10</v>
      </c>
      <c r="C95" s="7" t="s">
        <v>17</v>
      </c>
      <c r="D95" s="7" t="s">
        <v>9</v>
      </c>
      <c r="E95" s="7">
        <v>120</v>
      </c>
      <c r="F95" s="7">
        <v>41</v>
      </c>
      <c r="G95" s="8">
        <f t="shared" si="1"/>
        <v>4920</v>
      </c>
    </row>
    <row r="96" spans="1:7" ht="15.5" x14ac:dyDescent="0.35">
      <c r="A96" s="3">
        <v>44207</v>
      </c>
      <c r="B96" s="4" t="s">
        <v>12</v>
      </c>
      <c r="C96" s="4" t="s">
        <v>8</v>
      </c>
      <c r="D96" s="4" t="s">
        <v>18</v>
      </c>
      <c r="E96" s="4">
        <v>1450</v>
      </c>
      <c r="F96" s="4">
        <v>22</v>
      </c>
      <c r="G96" s="5">
        <f t="shared" si="1"/>
        <v>31900</v>
      </c>
    </row>
    <row r="97" spans="1:7" ht="15.5" x14ac:dyDescent="0.35">
      <c r="A97" s="6">
        <v>44211</v>
      </c>
      <c r="B97" s="7" t="s">
        <v>19</v>
      </c>
      <c r="C97" s="7" t="s">
        <v>20</v>
      </c>
      <c r="D97" s="7" t="s">
        <v>9</v>
      </c>
      <c r="E97" s="7">
        <v>89999</v>
      </c>
      <c r="F97" s="7">
        <v>15</v>
      </c>
      <c r="G97" s="8">
        <f t="shared" si="1"/>
        <v>1349985</v>
      </c>
    </row>
    <row r="98" spans="1:7" ht="15.5" x14ac:dyDescent="0.35">
      <c r="A98" s="3">
        <v>44215</v>
      </c>
      <c r="B98" s="4" t="s">
        <v>23</v>
      </c>
      <c r="C98" s="4" t="s">
        <v>16</v>
      </c>
      <c r="D98" s="4" t="s">
        <v>14</v>
      </c>
      <c r="E98" s="4">
        <v>1999</v>
      </c>
      <c r="F98" s="4">
        <v>48</v>
      </c>
      <c r="G98" s="5">
        <f t="shared" si="1"/>
        <v>95952</v>
      </c>
    </row>
    <row r="99" spans="1:7" ht="15.5" x14ac:dyDescent="0.35">
      <c r="A99" s="6">
        <v>44219</v>
      </c>
      <c r="B99" s="7" t="s">
        <v>23</v>
      </c>
      <c r="C99" s="7" t="s">
        <v>22</v>
      </c>
      <c r="D99" s="7" t="s">
        <v>18</v>
      </c>
      <c r="E99" s="7">
        <v>2900</v>
      </c>
      <c r="F99" s="7">
        <v>49</v>
      </c>
      <c r="G99" s="8">
        <f t="shared" si="1"/>
        <v>142100</v>
      </c>
    </row>
    <row r="100" spans="1:7" ht="15.5" x14ac:dyDescent="0.35">
      <c r="A100" s="3">
        <v>44223</v>
      </c>
      <c r="B100" s="4" t="s">
        <v>19</v>
      </c>
      <c r="C100" s="4" t="s">
        <v>20</v>
      </c>
      <c r="D100" s="4" t="s">
        <v>21</v>
      </c>
      <c r="E100" s="4">
        <v>700</v>
      </c>
      <c r="F100" s="4">
        <v>50</v>
      </c>
      <c r="G100" s="5">
        <f t="shared" si="1"/>
        <v>35000</v>
      </c>
    </row>
    <row r="101" spans="1:7" ht="15.5" x14ac:dyDescent="0.35">
      <c r="A101" s="6">
        <v>44227</v>
      </c>
      <c r="B101" s="7" t="s">
        <v>15</v>
      </c>
      <c r="C101" s="7" t="s">
        <v>17</v>
      </c>
      <c r="D101" s="7" t="s">
        <v>18</v>
      </c>
      <c r="E101" s="7">
        <v>200</v>
      </c>
      <c r="F101" s="7">
        <v>41</v>
      </c>
      <c r="G101" s="8">
        <f t="shared" si="1"/>
        <v>8200</v>
      </c>
    </row>
    <row r="102" spans="1:7" ht="15.5" x14ac:dyDescent="0.35">
      <c r="A102" s="3">
        <v>44231</v>
      </c>
      <c r="B102" s="4" t="s">
        <v>12</v>
      </c>
      <c r="C102" s="4" t="s">
        <v>16</v>
      </c>
      <c r="D102" s="4" t="s">
        <v>11</v>
      </c>
      <c r="E102" s="4">
        <v>49000</v>
      </c>
      <c r="F102" s="4">
        <v>29</v>
      </c>
      <c r="G102" s="5">
        <f t="shared" si="1"/>
        <v>1421000</v>
      </c>
    </row>
    <row r="103" spans="1:7" ht="15.5" x14ac:dyDescent="0.35">
      <c r="A103" s="6">
        <v>44235</v>
      </c>
      <c r="B103" s="7" t="s">
        <v>7</v>
      </c>
      <c r="C103" s="7" t="s">
        <v>8</v>
      </c>
      <c r="D103" s="7" t="s">
        <v>21</v>
      </c>
      <c r="E103" s="7">
        <v>5599</v>
      </c>
      <c r="F103" s="7">
        <v>36</v>
      </c>
      <c r="G103" s="8">
        <f t="shared" si="1"/>
        <v>201564</v>
      </c>
    </row>
    <row r="104" spans="1:7" ht="15.5" x14ac:dyDescent="0.35">
      <c r="A104" s="3">
        <v>44239</v>
      </c>
      <c r="B104" s="4" t="s">
        <v>15</v>
      </c>
      <c r="C104" s="4" t="s">
        <v>17</v>
      </c>
      <c r="D104" s="4" t="s">
        <v>18</v>
      </c>
      <c r="E104" s="4">
        <v>13500</v>
      </c>
      <c r="F104" s="4">
        <v>39</v>
      </c>
      <c r="G104" s="5">
        <f t="shared" si="1"/>
        <v>526500</v>
      </c>
    </row>
    <row r="105" spans="1:7" ht="15.5" x14ac:dyDescent="0.35">
      <c r="A105" s="6">
        <v>44243</v>
      </c>
      <c r="B105" s="7" t="s">
        <v>12</v>
      </c>
      <c r="C105" s="7" t="s">
        <v>20</v>
      </c>
      <c r="D105" s="7" t="s">
        <v>18</v>
      </c>
      <c r="E105" s="7">
        <v>79999</v>
      </c>
      <c r="F105" s="7">
        <v>9</v>
      </c>
      <c r="G105" s="8">
        <f t="shared" si="1"/>
        <v>719991</v>
      </c>
    </row>
    <row r="106" spans="1:7" ht="15.5" x14ac:dyDescent="0.35">
      <c r="A106" s="3">
        <v>44247</v>
      </c>
      <c r="B106" s="4" t="s">
        <v>19</v>
      </c>
      <c r="C106" s="4" t="s">
        <v>16</v>
      </c>
      <c r="D106" s="4" t="s">
        <v>14</v>
      </c>
      <c r="E106" s="4">
        <v>75200</v>
      </c>
      <c r="F106" s="4">
        <v>38</v>
      </c>
      <c r="G106" s="5">
        <f t="shared" si="1"/>
        <v>2857600</v>
      </c>
    </row>
    <row r="107" spans="1:7" ht="15.5" x14ac:dyDescent="0.35">
      <c r="A107" s="6">
        <v>44251</v>
      </c>
      <c r="B107" s="7" t="s">
        <v>19</v>
      </c>
      <c r="C107" s="7" t="s">
        <v>13</v>
      </c>
      <c r="D107" s="7" t="s">
        <v>9</v>
      </c>
      <c r="E107" s="7">
        <v>550</v>
      </c>
      <c r="F107" s="7">
        <v>25</v>
      </c>
      <c r="G107" s="8">
        <f t="shared" si="1"/>
        <v>13750</v>
      </c>
    </row>
    <row r="108" spans="1:7" ht="15.5" x14ac:dyDescent="0.35">
      <c r="A108" s="3">
        <v>44255</v>
      </c>
      <c r="B108" s="4" t="s">
        <v>7</v>
      </c>
      <c r="C108" s="4" t="s">
        <v>8</v>
      </c>
      <c r="D108" s="4" t="s">
        <v>9</v>
      </c>
      <c r="E108" s="4">
        <v>499</v>
      </c>
      <c r="F108" s="4">
        <v>50</v>
      </c>
      <c r="G108" s="5">
        <f t="shared" si="1"/>
        <v>24950</v>
      </c>
    </row>
    <row r="109" spans="1:7" ht="15.5" x14ac:dyDescent="0.35">
      <c r="A109" s="6">
        <v>44259</v>
      </c>
      <c r="B109" s="7" t="s">
        <v>7</v>
      </c>
      <c r="C109" s="7" t="s">
        <v>8</v>
      </c>
      <c r="D109" s="7" t="s">
        <v>11</v>
      </c>
      <c r="E109" s="7">
        <v>5599</v>
      </c>
      <c r="F109" s="7">
        <v>33</v>
      </c>
      <c r="G109" s="8">
        <f t="shared" si="1"/>
        <v>184767</v>
      </c>
    </row>
    <row r="110" spans="1:7" ht="15.5" x14ac:dyDescent="0.35">
      <c r="A110" s="3">
        <v>44263</v>
      </c>
      <c r="B110" s="4" t="s">
        <v>12</v>
      </c>
      <c r="C110" s="4" t="s">
        <v>13</v>
      </c>
      <c r="D110" s="4" t="s">
        <v>14</v>
      </c>
      <c r="E110" s="4">
        <v>1450</v>
      </c>
      <c r="F110" s="4">
        <v>44</v>
      </c>
      <c r="G110" s="5">
        <f t="shared" si="1"/>
        <v>63800</v>
      </c>
    </row>
    <row r="111" spans="1:7" ht="15.5" x14ac:dyDescent="0.35">
      <c r="A111" s="6">
        <v>44267</v>
      </c>
      <c r="B111" s="7" t="s">
        <v>15</v>
      </c>
      <c r="C111" s="7" t="s">
        <v>17</v>
      </c>
      <c r="D111" s="7" t="s">
        <v>9</v>
      </c>
      <c r="E111" s="7">
        <v>999</v>
      </c>
      <c r="F111" s="7">
        <v>31</v>
      </c>
      <c r="G111" s="8">
        <f t="shared" si="1"/>
        <v>30969</v>
      </c>
    </row>
    <row r="112" spans="1:7" ht="15.5" x14ac:dyDescent="0.35">
      <c r="A112" s="3">
        <v>44271</v>
      </c>
      <c r="B112" s="4" t="s">
        <v>15</v>
      </c>
      <c r="C112" s="4" t="s">
        <v>17</v>
      </c>
      <c r="D112" s="4" t="s">
        <v>18</v>
      </c>
      <c r="E112" s="4">
        <v>100</v>
      </c>
      <c r="F112" s="4">
        <v>11</v>
      </c>
      <c r="G112" s="5">
        <f t="shared" si="1"/>
        <v>1100</v>
      </c>
    </row>
    <row r="113" spans="1:7" ht="15.5" x14ac:dyDescent="0.35">
      <c r="A113" s="6">
        <v>44275</v>
      </c>
      <c r="B113" s="7" t="s">
        <v>12</v>
      </c>
      <c r="C113" s="7" t="s">
        <v>8</v>
      </c>
      <c r="D113" s="7" t="s">
        <v>18</v>
      </c>
      <c r="E113" s="7">
        <v>2550</v>
      </c>
      <c r="F113" s="7">
        <v>48</v>
      </c>
      <c r="G113" s="8">
        <f t="shared" si="1"/>
        <v>122400</v>
      </c>
    </row>
    <row r="114" spans="1:7" ht="15.5" x14ac:dyDescent="0.35">
      <c r="A114" s="3">
        <v>44279</v>
      </c>
      <c r="B114" s="4" t="s">
        <v>19</v>
      </c>
      <c r="C114" s="4" t="s">
        <v>20</v>
      </c>
      <c r="D114" s="4" t="s">
        <v>18</v>
      </c>
      <c r="E114" s="4">
        <v>33000</v>
      </c>
      <c r="F114" s="4">
        <v>26</v>
      </c>
      <c r="G114" s="5">
        <f t="shared" si="1"/>
        <v>858000</v>
      </c>
    </row>
    <row r="115" spans="1:7" ht="15.5" x14ac:dyDescent="0.35">
      <c r="A115" s="6">
        <v>44283</v>
      </c>
      <c r="B115" s="7" t="s">
        <v>10</v>
      </c>
      <c r="C115" s="7" t="s">
        <v>8</v>
      </c>
      <c r="D115" s="7" t="s">
        <v>14</v>
      </c>
      <c r="E115" s="7">
        <v>800</v>
      </c>
      <c r="F115" s="7">
        <v>39</v>
      </c>
      <c r="G115" s="8">
        <f t="shared" si="1"/>
        <v>31200</v>
      </c>
    </row>
    <row r="116" spans="1:7" ht="15.5" x14ac:dyDescent="0.35">
      <c r="A116" s="3">
        <v>44287</v>
      </c>
      <c r="B116" s="4" t="s">
        <v>23</v>
      </c>
      <c r="C116" s="4" t="s">
        <v>22</v>
      </c>
      <c r="D116" s="4" t="s">
        <v>14</v>
      </c>
      <c r="E116" s="4">
        <v>990</v>
      </c>
      <c r="F116" s="4">
        <v>9</v>
      </c>
      <c r="G116" s="5">
        <f t="shared" si="1"/>
        <v>8910</v>
      </c>
    </row>
    <row r="117" spans="1:7" ht="15.5" x14ac:dyDescent="0.35">
      <c r="A117" s="6">
        <v>44291</v>
      </c>
      <c r="B117" s="7" t="s">
        <v>7</v>
      </c>
      <c r="C117" s="7" t="s">
        <v>8</v>
      </c>
      <c r="D117" s="7" t="s">
        <v>9</v>
      </c>
      <c r="E117" s="7">
        <v>5599</v>
      </c>
      <c r="F117" s="7">
        <v>41</v>
      </c>
      <c r="G117" s="8">
        <f t="shared" si="1"/>
        <v>229559</v>
      </c>
    </row>
    <row r="118" spans="1:7" ht="15.5" x14ac:dyDescent="0.35">
      <c r="A118" s="3">
        <v>44295</v>
      </c>
      <c r="B118" s="4" t="s">
        <v>19</v>
      </c>
      <c r="C118" s="4" t="s">
        <v>20</v>
      </c>
      <c r="D118" s="4" t="s">
        <v>9</v>
      </c>
      <c r="E118" s="4">
        <v>499</v>
      </c>
      <c r="F118" s="4">
        <v>39</v>
      </c>
      <c r="G118" s="5">
        <f t="shared" si="1"/>
        <v>19461</v>
      </c>
    </row>
    <row r="119" spans="1:7" ht="15.5" x14ac:dyDescent="0.35">
      <c r="A119" s="6">
        <v>44299</v>
      </c>
      <c r="B119" s="7" t="s">
        <v>23</v>
      </c>
      <c r="C119" s="7" t="s">
        <v>22</v>
      </c>
      <c r="D119" s="7" t="s">
        <v>9</v>
      </c>
      <c r="E119" s="7">
        <v>1999</v>
      </c>
      <c r="F119" s="7">
        <v>4</v>
      </c>
      <c r="G119" s="8">
        <f t="shared" si="1"/>
        <v>7996</v>
      </c>
    </row>
    <row r="120" spans="1:7" ht="15.5" x14ac:dyDescent="0.35">
      <c r="A120" s="3">
        <v>44303</v>
      </c>
      <c r="B120" s="4" t="s">
        <v>12</v>
      </c>
      <c r="C120" s="4" t="s">
        <v>17</v>
      </c>
      <c r="D120" s="4" t="s">
        <v>9</v>
      </c>
      <c r="E120" s="4">
        <v>200</v>
      </c>
      <c r="F120" s="4">
        <v>8</v>
      </c>
      <c r="G120" s="5">
        <f t="shared" si="1"/>
        <v>1600</v>
      </c>
    </row>
    <row r="121" spans="1:7" ht="15.5" x14ac:dyDescent="0.35">
      <c r="A121" s="6">
        <v>44307</v>
      </c>
      <c r="B121" s="7" t="s">
        <v>23</v>
      </c>
      <c r="C121" s="7" t="s">
        <v>22</v>
      </c>
      <c r="D121" s="7" t="s">
        <v>14</v>
      </c>
      <c r="E121" s="7">
        <v>1499</v>
      </c>
      <c r="F121" s="7">
        <v>27</v>
      </c>
      <c r="G121" s="8">
        <f t="shared" si="1"/>
        <v>40473</v>
      </c>
    </row>
    <row r="122" spans="1:7" ht="15.5" x14ac:dyDescent="0.35">
      <c r="A122" s="3">
        <v>44311</v>
      </c>
      <c r="B122" s="4" t="s">
        <v>15</v>
      </c>
      <c r="C122" s="4" t="s">
        <v>17</v>
      </c>
      <c r="D122" s="4" t="s">
        <v>21</v>
      </c>
      <c r="E122" s="4">
        <v>120</v>
      </c>
      <c r="F122" s="4">
        <v>10</v>
      </c>
      <c r="G122" s="5">
        <f t="shared" si="1"/>
        <v>1200</v>
      </c>
    </row>
    <row r="123" spans="1:7" ht="15.5" x14ac:dyDescent="0.35">
      <c r="A123" s="6">
        <v>44315</v>
      </c>
      <c r="B123" s="7" t="s">
        <v>10</v>
      </c>
      <c r="C123" s="7" t="s">
        <v>20</v>
      </c>
      <c r="D123" s="7" t="s">
        <v>21</v>
      </c>
      <c r="E123" s="7">
        <v>11999</v>
      </c>
      <c r="F123" s="7">
        <v>17</v>
      </c>
      <c r="G123" s="8">
        <f t="shared" si="1"/>
        <v>203983</v>
      </c>
    </row>
    <row r="124" spans="1:7" ht="15.5" x14ac:dyDescent="0.35">
      <c r="A124" s="3">
        <v>44319</v>
      </c>
      <c r="B124" s="4" t="s">
        <v>10</v>
      </c>
      <c r="C124" s="4" t="s">
        <v>20</v>
      </c>
      <c r="D124" s="4" t="s">
        <v>11</v>
      </c>
      <c r="E124" s="4">
        <v>999</v>
      </c>
      <c r="F124" s="4">
        <v>27</v>
      </c>
      <c r="G124" s="5">
        <f t="shared" si="1"/>
        <v>26973</v>
      </c>
    </row>
    <row r="125" spans="1:7" ht="15.5" x14ac:dyDescent="0.35">
      <c r="A125" s="6">
        <v>44323</v>
      </c>
      <c r="B125" s="7" t="s">
        <v>12</v>
      </c>
      <c r="C125" s="7" t="s">
        <v>20</v>
      </c>
      <c r="D125" s="7" t="s">
        <v>14</v>
      </c>
      <c r="E125" s="7">
        <v>2999</v>
      </c>
      <c r="F125" s="7">
        <v>43</v>
      </c>
      <c r="G125" s="8">
        <f t="shared" si="1"/>
        <v>128957</v>
      </c>
    </row>
    <row r="126" spans="1:7" ht="15.5" x14ac:dyDescent="0.35">
      <c r="A126" s="3">
        <v>44327</v>
      </c>
      <c r="B126" s="4" t="s">
        <v>15</v>
      </c>
      <c r="C126" s="4" t="s">
        <v>16</v>
      </c>
      <c r="D126" s="4" t="s">
        <v>11</v>
      </c>
      <c r="E126" s="4">
        <v>47800</v>
      </c>
      <c r="F126" s="4">
        <v>9</v>
      </c>
      <c r="G126" s="5">
        <f t="shared" si="1"/>
        <v>430200</v>
      </c>
    </row>
    <row r="127" spans="1:7" ht="15.5" x14ac:dyDescent="0.35">
      <c r="A127" s="6">
        <v>44331</v>
      </c>
      <c r="B127" s="7" t="s">
        <v>19</v>
      </c>
      <c r="C127" s="7" t="s">
        <v>16</v>
      </c>
      <c r="D127" s="7" t="s">
        <v>9</v>
      </c>
      <c r="E127" s="7">
        <v>22000</v>
      </c>
      <c r="F127" s="7">
        <v>42</v>
      </c>
      <c r="G127" s="8">
        <f t="shared" si="1"/>
        <v>924000</v>
      </c>
    </row>
    <row r="128" spans="1:7" ht="15.5" x14ac:dyDescent="0.35">
      <c r="A128" s="3">
        <v>44335</v>
      </c>
      <c r="B128" s="4" t="s">
        <v>19</v>
      </c>
      <c r="C128" s="4" t="s">
        <v>13</v>
      </c>
      <c r="D128" s="4" t="s">
        <v>11</v>
      </c>
      <c r="E128" s="4">
        <v>1250</v>
      </c>
      <c r="F128" s="4">
        <v>6</v>
      </c>
      <c r="G128" s="5">
        <f t="shared" si="1"/>
        <v>7500</v>
      </c>
    </row>
    <row r="129" spans="1:7" ht="15.5" x14ac:dyDescent="0.35">
      <c r="A129" s="6">
        <v>44339</v>
      </c>
      <c r="B129" s="7" t="s">
        <v>15</v>
      </c>
      <c r="C129" s="7" t="s">
        <v>17</v>
      </c>
      <c r="D129" s="7" t="s">
        <v>14</v>
      </c>
      <c r="E129" s="7">
        <v>999</v>
      </c>
      <c r="F129" s="7">
        <v>28</v>
      </c>
      <c r="G129" s="8">
        <f t="shared" si="1"/>
        <v>27972</v>
      </c>
    </row>
    <row r="130" spans="1:7" ht="15.5" x14ac:dyDescent="0.35">
      <c r="A130" s="3">
        <v>44343</v>
      </c>
      <c r="B130" s="4" t="s">
        <v>19</v>
      </c>
      <c r="C130" s="4" t="s">
        <v>13</v>
      </c>
      <c r="D130" s="4" t="s">
        <v>21</v>
      </c>
      <c r="E130" s="4">
        <v>1450</v>
      </c>
      <c r="F130" s="4">
        <v>13</v>
      </c>
      <c r="G130" s="5">
        <f t="shared" si="1"/>
        <v>18850</v>
      </c>
    </row>
    <row r="131" spans="1:7" ht="15.5" x14ac:dyDescent="0.35">
      <c r="A131" s="6">
        <v>44347</v>
      </c>
      <c r="B131" s="7" t="s">
        <v>19</v>
      </c>
      <c r="C131" s="7" t="s">
        <v>13</v>
      </c>
      <c r="D131" s="7" t="s">
        <v>21</v>
      </c>
      <c r="E131" s="7">
        <v>23999</v>
      </c>
      <c r="F131" s="7">
        <v>8</v>
      </c>
      <c r="G131" s="8">
        <f t="shared" ref="G131:G194" si="2">E131*F131</f>
        <v>191992</v>
      </c>
    </row>
    <row r="132" spans="1:7" ht="15.5" x14ac:dyDescent="0.35">
      <c r="A132" s="3">
        <v>44351</v>
      </c>
      <c r="B132" s="4" t="s">
        <v>10</v>
      </c>
      <c r="C132" s="4" t="s">
        <v>16</v>
      </c>
      <c r="D132" s="4" t="s">
        <v>21</v>
      </c>
      <c r="E132" s="4">
        <v>92000</v>
      </c>
      <c r="F132" s="4">
        <v>7</v>
      </c>
      <c r="G132" s="5">
        <f t="shared" si="2"/>
        <v>644000</v>
      </c>
    </row>
    <row r="133" spans="1:7" ht="15.5" x14ac:dyDescent="0.35">
      <c r="A133" s="6">
        <v>44355</v>
      </c>
      <c r="B133" s="7" t="s">
        <v>23</v>
      </c>
      <c r="C133" s="7" t="s">
        <v>22</v>
      </c>
      <c r="D133" s="7" t="s">
        <v>14</v>
      </c>
      <c r="E133" s="7">
        <v>699</v>
      </c>
      <c r="F133" s="7">
        <v>45</v>
      </c>
      <c r="G133" s="8">
        <f t="shared" si="2"/>
        <v>31455</v>
      </c>
    </row>
    <row r="134" spans="1:7" ht="15.5" x14ac:dyDescent="0.35">
      <c r="A134" s="3">
        <v>44359</v>
      </c>
      <c r="B134" s="4" t="s">
        <v>7</v>
      </c>
      <c r="C134" s="4" t="s">
        <v>8</v>
      </c>
      <c r="D134" s="4" t="s">
        <v>9</v>
      </c>
      <c r="E134" s="4">
        <v>2550</v>
      </c>
      <c r="F134" s="4">
        <v>22</v>
      </c>
      <c r="G134" s="5">
        <f t="shared" si="2"/>
        <v>56100</v>
      </c>
    </row>
    <row r="135" spans="1:7" ht="15.5" x14ac:dyDescent="0.35">
      <c r="A135" s="6">
        <v>44363</v>
      </c>
      <c r="B135" s="7" t="s">
        <v>12</v>
      </c>
      <c r="C135" s="7" t="s">
        <v>20</v>
      </c>
      <c r="D135" s="7" t="s">
        <v>21</v>
      </c>
      <c r="E135" s="7">
        <v>22000</v>
      </c>
      <c r="F135" s="7">
        <v>4</v>
      </c>
      <c r="G135" s="8">
        <f t="shared" si="2"/>
        <v>88000</v>
      </c>
    </row>
    <row r="136" spans="1:7" ht="15.5" x14ac:dyDescent="0.35">
      <c r="A136" s="3">
        <v>44367</v>
      </c>
      <c r="B136" s="4" t="s">
        <v>19</v>
      </c>
      <c r="C136" s="4" t="s">
        <v>20</v>
      </c>
      <c r="D136" s="4" t="s">
        <v>9</v>
      </c>
      <c r="E136" s="4">
        <v>22000</v>
      </c>
      <c r="F136" s="4">
        <v>10</v>
      </c>
      <c r="G136" s="5">
        <f t="shared" si="2"/>
        <v>220000</v>
      </c>
    </row>
    <row r="137" spans="1:7" ht="15.5" x14ac:dyDescent="0.35">
      <c r="A137" s="6">
        <v>44371</v>
      </c>
      <c r="B137" s="7" t="s">
        <v>10</v>
      </c>
      <c r="C137" s="7" t="s">
        <v>22</v>
      </c>
      <c r="D137" s="7" t="s">
        <v>14</v>
      </c>
      <c r="E137" s="7">
        <v>1499</v>
      </c>
      <c r="F137" s="7">
        <v>16</v>
      </c>
      <c r="G137" s="8">
        <f t="shared" si="2"/>
        <v>23984</v>
      </c>
    </row>
    <row r="138" spans="1:7" ht="15.5" x14ac:dyDescent="0.35">
      <c r="A138" s="3">
        <v>44375</v>
      </c>
      <c r="B138" s="4" t="s">
        <v>15</v>
      </c>
      <c r="C138" s="4" t="s">
        <v>17</v>
      </c>
      <c r="D138" s="4" t="s">
        <v>21</v>
      </c>
      <c r="E138" s="4">
        <v>120</v>
      </c>
      <c r="F138" s="4">
        <v>22</v>
      </c>
      <c r="G138" s="5">
        <f t="shared" si="2"/>
        <v>2640</v>
      </c>
    </row>
    <row r="139" spans="1:7" ht="15.5" x14ac:dyDescent="0.35">
      <c r="A139" s="6">
        <v>44379</v>
      </c>
      <c r="B139" s="7" t="s">
        <v>7</v>
      </c>
      <c r="C139" s="7" t="s">
        <v>8</v>
      </c>
      <c r="D139" s="7" t="s">
        <v>11</v>
      </c>
      <c r="E139" s="7">
        <v>1450</v>
      </c>
      <c r="F139" s="7">
        <v>20</v>
      </c>
      <c r="G139" s="8">
        <f t="shared" si="2"/>
        <v>29000</v>
      </c>
    </row>
    <row r="140" spans="1:7" ht="15.5" x14ac:dyDescent="0.35">
      <c r="A140" s="3">
        <v>44383</v>
      </c>
      <c r="B140" s="4" t="s">
        <v>23</v>
      </c>
      <c r="C140" s="4" t="s">
        <v>22</v>
      </c>
      <c r="D140" s="4" t="s">
        <v>14</v>
      </c>
      <c r="E140" s="4">
        <v>1999</v>
      </c>
      <c r="F140" s="4">
        <v>23</v>
      </c>
      <c r="G140" s="5">
        <f t="shared" si="2"/>
        <v>45977</v>
      </c>
    </row>
    <row r="141" spans="1:7" ht="15.5" x14ac:dyDescent="0.35">
      <c r="A141" s="6">
        <v>44387</v>
      </c>
      <c r="B141" s="7" t="s">
        <v>10</v>
      </c>
      <c r="C141" s="7" t="s">
        <v>8</v>
      </c>
      <c r="D141" s="7" t="s">
        <v>24</v>
      </c>
      <c r="E141" s="7">
        <v>800</v>
      </c>
      <c r="F141" s="7">
        <v>43</v>
      </c>
      <c r="G141" s="8">
        <f t="shared" si="2"/>
        <v>34400</v>
      </c>
    </row>
    <row r="142" spans="1:7" ht="15.5" x14ac:dyDescent="0.35">
      <c r="A142" s="3">
        <v>44391</v>
      </c>
      <c r="B142" s="4" t="s">
        <v>15</v>
      </c>
      <c r="C142" s="4" t="s">
        <v>17</v>
      </c>
      <c r="D142" s="4" t="s">
        <v>21</v>
      </c>
      <c r="E142" s="4">
        <v>100</v>
      </c>
      <c r="F142" s="4">
        <v>41</v>
      </c>
      <c r="G142" s="5">
        <f t="shared" si="2"/>
        <v>4100</v>
      </c>
    </row>
    <row r="143" spans="1:7" ht="15.5" x14ac:dyDescent="0.35">
      <c r="A143" s="6">
        <v>44395</v>
      </c>
      <c r="B143" s="7" t="s">
        <v>7</v>
      </c>
      <c r="C143" s="7" t="s">
        <v>16</v>
      </c>
      <c r="D143" s="7" t="s">
        <v>21</v>
      </c>
      <c r="E143" s="7">
        <v>13999</v>
      </c>
      <c r="F143" s="7">
        <v>37</v>
      </c>
      <c r="G143" s="8">
        <f t="shared" si="2"/>
        <v>517963</v>
      </c>
    </row>
    <row r="144" spans="1:7" ht="15.5" x14ac:dyDescent="0.35">
      <c r="A144" s="3">
        <v>44399</v>
      </c>
      <c r="B144" s="4" t="s">
        <v>12</v>
      </c>
      <c r="C144" s="4" t="s">
        <v>20</v>
      </c>
      <c r="D144" s="4" t="s">
        <v>18</v>
      </c>
      <c r="E144" s="4">
        <v>22000</v>
      </c>
      <c r="F144" s="4">
        <v>45</v>
      </c>
      <c r="G144" s="5">
        <f t="shared" si="2"/>
        <v>990000</v>
      </c>
    </row>
    <row r="145" spans="1:7" ht="15.5" x14ac:dyDescent="0.35">
      <c r="A145" s="6">
        <v>44403</v>
      </c>
      <c r="B145" s="7" t="s">
        <v>19</v>
      </c>
      <c r="C145" s="7" t="s">
        <v>20</v>
      </c>
      <c r="D145" s="7" t="s">
        <v>24</v>
      </c>
      <c r="E145" s="7">
        <v>89999</v>
      </c>
      <c r="F145" s="7">
        <v>15</v>
      </c>
      <c r="G145" s="8">
        <f t="shared" si="2"/>
        <v>1349985</v>
      </c>
    </row>
    <row r="146" spans="1:7" ht="15.5" x14ac:dyDescent="0.35">
      <c r="A146" s="3">
        <v>44407</v>
      </c>
      <c r="B146" s="4" t="s">
        <v>7</v>
      </c>
      <c r="C146" s="4" t="s">
        <v>8</v>
      </c>
      <c r="D146" s="4" t="s">
        <v>18</v>
      </c>
      <c r="E146" s="4">
        <v>13999</v>
      </c>
      <c r="F146" s="4">
        <v>22</v>
      </c>
      <c r="G146" s="5">
        <f t="shared" si="2"/>
        <v>307978</v>
      </c>
    </row>
    <row r="147" spans="1:7" ht="15.5" x14ac:dyDescent="0.35">
      <c r="A147" s="6">
        <v>44411</v>
      </c>
      <c r="B147" s="7" t="s">
        <v>10</v>
      </c>
      <c r="C147" s="7" t="s">
        <v>22</v>
      </c>
      <c r="D147" s="7" t="s">
        <v>14</v>
      </c>
      <c r="E147" s="7">
        <v>2900</v>
      </c>
      <c r="F147" s="7">
        <v>20</v>
      </c>
      <c r="G147" s="8">
        <f t="shared" si="2"/>
        <v>58000</v>
      </c>
    </row>
    <row r="148" spans="1:7" ht="15.5" x14ac:dyDescent="0.35">
      <c r="A148" s="3">
        <v>44415</v>
      </c>
      <c r="B148" s="4" t="s">
        <v>19</v>
      </c>
      <c r="C148" s="4" t="s">
        <v>20</v>
      </c>
      <c r="D148" s="4" t="s">
        <v>18</v>
      </c>
      <c r="E148" s="4">
        <v>33000</v>
      </c>
      <c r="F148" s="4">
        <v>16</v>
      </c>
      <c r="G148" s="5">
        <f t="shared" si="2"/>
        <v>528000</v>
      </c>
    </row>
    <row r="149" spans="1:7" ht="15.5" x14ac:dyDescent="0.35">
      <c r="A149" s="6">
        <v>44419</v>
      </c>
      <c r="B149" s="7" t="s">
        <v>10</v>
      </c>
      <c r="C149" s="7" t="s">
        <v>20</v>
      </c>
      <c r="D149" s="7" t="s">
        <v>11</v>
      </c>
      <c r="E149" s="7">
        <v>22000</v>
      </c>
      <c r="F149" s="7">
        <v>17</v>
      </c>
      <c r="G149" s="8">
        <f t="shared" si="2"/>
        <v>374000</v>
      </c>
    </row>
    <row r="150" spans="1:7" ht="15.5" x14ac:dyDescent="0.35">
      <c r="A150" s="3">
        <v>44423</v>
      </c>
      <c r="B150" s="4" t="s">
        <v>10</v>
      </c>
      <c r="C150" s="4" t="s">
        <v>22</v>
      </c>
      <c r="D150" s="4" t="s">
        <v>11</v>
      </c>
      <c r="E150" s="4">
        <v>45000</v>
      </c>
      <c r="F150" s="4">
        <v>50</v>
      </c>
      <c r="G150" s="5">
        <f t="shared" si="2"/>
        <v>2250000</v>
      </c>
    </row>
    <row r="151" spans="1:7" ht="15.5" x14ac:dyDescent="0.35">
      <c r="A151" s="6">
        <v>44427</v>
      </c>
      <c r="B151" s="7" t="s">
        <v>19</v>
      </c>
      <c r="C151" s="7" t="s">
        <v>16</v>
      </c>
      <c r="D151" s="7" t="s">
        <v>14</v>
      </c>
      <c r="E151" s="7">
        <v>499</v>
      </c>
      <c r="F151" s="7">
        <v>4</v>
      </c>
      <c r="G151" s="8">
        <f t="shared" si="2"/>
        <v>1996</v>
      </c>
    </row>
    <row r="152" spans="1:7" ht="15.5" x14ac:dyDescent="0.35">
      <c r="A152" s="3">
        <v>44431</v>
      </c>
      <c r="B152" s="4" t="s">
        <v>23</v>
      </c>
      <c r="C152" s="4" t="s">
        <v>22</v>
      </c>
      <c r="D152" s="4" t="s">
        <v>18</v>
      </c>
      <c r="E152" s="4">
        <v>590</v>
      </c>
      <c r="F152" s="4">
        <v>43</v>
      </c>
      <c r="G152" s="5">
        <f t="shared" si="2"/>
        <v>25370</v>
      </c>
    </row>
    <row r="153" spans="1:7" ht="15.5" x14ac:dyDescent="0.35">
      <c r="A153" s="6">
        <v>44435</v>
      </c>
      <c r="B153" s="7" t="s">
        <v>12</v>
      </c>
      <c r="C153" s="7" t="s">
        <v>22</v>
      </c>
      <c r="D153" s="7" t="s">
        <v>11</v>
      </c>
      <c r="E153" s="7">
        <v>590</v>
      </c>
      <c r="F153" s="7">
        <v>42</v>
      </c>
      <c r="G153" s="8">
        <f t="shared" si="2"/>
        <v>24780</v>
      </c>
    </row>
    <row r="154" spans="1:7" ht="15.5" x14ac:dyDescent="0.35">
      <c r="A154" s="3">
        <v>44439</v>
      </c>
      <c r="B154" s="4" t="s">
        <v>15</v>
      </c>
      <c r="C154" s="4" t="s">
        <v>17</v>
      </c>
      <c r="D154" s="4" t="s">
        <v>9</v>
      </c>
      <c r="E154" s="4">
        <v>12000</v>
      </c>
      <c r="F154" s="4">
        <v>9</v>
      </c>
      <c r="G154" s="5">
        <f t="shared" si="2"/>
        <v>108000</v>
      </c>
    </row>
    <row r="155" spans="1:7" ht="15.5" x14ac:dyDescent="0.35">
      <c r="A155" s="6">
        <v>44443</v>
      </c>
      <c r="B155" s="7" t="s">
        <v>19</v>
      </c>
      <c r="C155" s="7" t="s">
        <v>20</v>
      </c>
      <c r="D155" s="7" t="s">
        <v>24</v>
      </c>
      <c r="E155" s="7">
        <v>52000</v>
      </c>
      <c r="F155" s="7">
        <v>40</v>
      </c>
      <c r="G155" s="8">
        <f t="shared" si="2"/>
        <v>2080000</v>
      </c>
    </row>
    <row r="156" spans="1:7" ht="15.5" x14ac:dyDescent="0.35">
      <c r="A156" s="3">
        <v>44447</v>
      </c>
      <c r="B156" s="4" t="s">
        <v>19</v>
      </c>
      <c r="C156" s="4" t="s">
        <v>13</v>
      </c>
      <c r="D156" s="4" t="s">
        <v>18</v>
      </c>
      <c r="E156" s="4">
        <v>7999</v>
      </c>
      <c r="F156" s="4">
        <v>14</v>
      </c>
      <c r="G156" s="5">
        <f t="shared" si="2"/>
        <v>111986</v>
      </c>
    </row>
    <row r="157" spans="1:7" ht="15.5" x14ac:dyDescent="0.35">
      <c r="A157" s="6">
        <v>44451</v>
      </c>
      <c r="B157" s="7" t="s">
        <v>10</v>
      </c>
      <c r="C157" s="7" t="s">
        <v>13</v>
      </c>
      <c r="D157" s="7" t="s">
        <v>21</v>
      </c>
      <c r="E157" s="7">
        <v>5000</v>
      </c>
      <c r="F157" s="7">
        <v>9</v>
      </c>
      <c r="G157" s="8">
        <f t="shared" si="2"/>
        <v>45000</v>
      </c>
    </row>
    <row r="158" spans="1:7" ht="15.5" x14ac:dyDescent="0.35">
      <c r="A158" s="3">
        <v>44455</v>
      </c>
      <c r="B158" s="4" t="s">
        <v>19</v>
      </c>
      <c r="C158" s="4" t="s">
        <v>20</v>
      </c>
      <c r="D158" s="4" t="s">
        <v>18</v>
      </c>
      <c r="E158" s="4">
        <v>79999</v>
      </c>
      <c r="F158" s="4">
        <v>10</v>
      </c>
      <c r="G158" s="5">
        <f t="shared" si="2"/>
        <v>799990</v>
      </c>
    </row>
    <row r="159" spans="1:7" ht="15.5" x14ac:dyDescent="0.35">
      <c r="A159" s="6">
        <v>44459</v>
      </c>
      <c r="B159" s="7" t="s">
        <v>23</v>
      </c>
      <c r="C159" s="7" t="s">
        <v>16</v>
      </c>
      <c r="D159" s="7" t="s">
        <v>14</v>
      </c>
      <c r="E159" s="7">
        <v>1999</v>
      </c>
      <c r="F159" s="7">
        <v>37</v>
      </c>
      <c r="G159" s="8">
        <f t="shared" si="2"/>
        <v>73963</v>
      </c>
    </row>
    <row r="160" spans="1:7" ht="15.5" x14ac:dyDescent="0.35">
      <c r="A160" s="3">
        <v>44463</v>
      </c>
      <c r="B160" s="4" t="s">
        <v>19</v>
      </c>
      <c r="C160" s="4" t="s">
        <v>20</v>
      </c>
      <c r="D160" s="4" t="s">
        <v>18</v>
      </c>
      <c r="E160" s="4">
        <v>89999</v>
      </c>
      <c r="F160" s="4">
        <v>29</v>
      </c>
      <c r="G160" s="5">
        <f t="shared" si="2"/>
        <v>2609971</v>
      </c>
    </row>
    <row r="161" spans="1:7" ht="15.5" x14ac:dyDescent="0.35">
      <c r="A161" s="6">
        <v>44467</v>
      </c>
      <c r="B161" s="7" t="s">
        <v>12</v>
      </c>
      <c r="C161" s="7" t="s">
        <v>20</v>
      </c>
      <c r="D161" s="7" t="s">
        <v>9</v>
      </c>
      <c r="E161" s="7">
        <v>799</v>
      </c>
      <c r="F161" s="7">
        <v>44</v>
      </c>
      <c r="G161" s="8">
        <f t="shared" si="2"/>
        <v>35156</v>
      </c>
    </row>
    <row r="162" spans="1:7" ht="15.5" x14ac:dyDescent="0.35">
      <c r="A162" s="3">
        <v>44471</v>
      </c>
      <c r="B162" s="4" t="s">
        <v>19</v>
      </c>
      <c r="C162" s="4" t="s">
        <v>20</v>
      </c>
      <c r="D162" s="4" t="s">
        <v>11</v>
      </c>
      <c r="E162" s="4">
        <v>3990</v>
      </c>
      <c r="F162" s="4">
        <v>31</v>
      </c>
      <c r="G162" s="5">
        <f t="shared" si="2"/>
        <v>123690</v>
      </c>
    </row>
    <row r="163" spans="1:7" ht="15.5" x14ac:dyDescent="0.35">
      <c r="A163" s="6">
        <v>44475</v>
      </c>
      <c r="B163" s="7" t="s">
        <v>10</v>
      </c>
      <c r="C163" s="7" t="s">
        <v>20</v>
      </c>
      <c r="D163" s="7" t="s">
        <v>14</v>
      </c>
      <c r="E163" s="7">
        <v>52000</v>
      </c>
      <c r="F163" s="7">
        <v>29</v>
      </c>
      <c r="G163" s="8">
        <f t="shared" si="2"/>
        <v>1508000</v>
      </c>
    </row>
    <row r="164" spans="1:7" ht="15.5" x14ac:dyDescent="0.35">
      <c r="A164" s="3">
        <v>44479</v>
      </c>
      <c r="B164" s="4" t="s">
        <v>10</v>
      </c>
      <c r="C164" s="4" t="s">
        <v>8</v>
      </c>
      <c r="D164" s="4" t="s">
        <v>18</v>
      </c>
      <c r="E164" s="4">
        <v>13999</v>
      </c>
      <c r="F164" s="4">
        <v>34</v>
      </c>
      <c r="G164" s="5">
        <f t="shared" si="2"/>
        <v>475966</v>
      </c>
    </row>
    <row r="165" spans="1:7" ht="15.5" x14ac:dyDescent="0.35">
      <c r="A165" s="6">
        <v>44483</v>
      </c>
      <c r="B165" s="7" t="s">
        <v>15</v>
      </c>
      <c r="C165" s="7" t="s">
        <v>17</v>
      </c>
      <c r="D165" s="7" t="s">
        <v>14</v>
      </c>
      <c r="E165" s="7">
        <v>14500</v>
      </c>
      <c r="F165" s="7">
        <v>29</v>
      </c>
      <c r="G165" s="8">
        <f t="shared" si="2"/>
        <v>420500</v>
      </c>
    </row>
    <row r="166" spans="1:7" ht="15.5" x14ac:dyDescent="0.35">
      <c r="A166" s="3">
        <v>44487</v>
      </c>
      <c r="B166" s="4" t="s">
        <v>19</v>
      </c>
      <c r="C166" s="4" t="s">
        <v>13</v>
      </c>
      <c r="D166" s="4" t="s">
        <v>24</v>
      </c>
      <c r="E166" s="4">
        <v>23999</v>
      </c>
      <c r="F166" s="4">
        <v>25</v>
      </c>
      <c r="G166" s="5">
        <f t="shared" si="2"/>
        <v>599975</v>
      </c>
    </row>
    <row r="167" spans="1:7" ht="15.5" x14ac:dyDescent="0.35">
      <c r="A167" s="6">
        <v>44491</v>
      </c>
      <c r="B167" s="7" t="s">
        <v>19</v>
      </c>
      <c r="C167" s="7" t="s">
        <v>13</v>
      </c>
      <c r="D167" s="7" t="s">
        <v>18</v>
      </c>
      <c r="E167" s="7">
        <v>1250</v>
      </c>
      <c r="F167" s="7">
        <v>31</v>
      </c>
      <c r="G167" s="8">
        <f t="shared" si="2"/>
        <v>38750</v>
      </c>
    </row>
    <row r="168" spans="1:7" ht="15.5" x14ac:dyDescent="0.35">
      <c r="A168" s="3">
        <v>44495</v>
      </c>
      <c r="B168" s="4" t="s">
        <v>23</v>
      </c>
      <c r="C168" s="4" t="s">
        <v>16</v>
      </c>
      <c r="D168" s="4" t="s">
        <v>18</v>
      </c>
      <c r="E168" s="4">
        <v>35600</v>
      </c>
      <c r="F168" s="4">
        <v>16</v>
      </c>
      <c r="G168" s="5">
        <f t="shared" si="2"/>
        <v>569600</v>
      </c>
    </row>
    <row r="169" spans="1:7" ht="15.5" x14ac:dyDescent="0.35">
      <c r="A169" s="6">
        <v>44499</v>
      </c>
      <c r="B169" s="7" t="s">
        <v>15</v>
      </c>
      <c r="C169" s="7" t="s">
        <v>17</v>
      </c>
      <c r="D169" s="7" t="s">
        <v>18</v>
      </c>
      <c r="E169" s="7">
        <v>65000</v>
      </c>
      <c r="F169" s="7">
        <v>48</v>
      </c>
      <c r="G169" s="8">
        <f t="shared" si="2"/>
        <v>3120000</v>
      </c>
    </row>
    <row r="170" spans="1:7" ht="15.5" x14ac:dyDescent="0.35">
      <c r="A170" s="3">
        <v>44503</v>
      </c>
      <c r="B170" s="4" t="s">
        <v>12</v>
      </c>
      <c r="C170" s="4" t="s">
        <v>17</v>
      </c>
      <c r="D170" s="4" t="s">
        <v>24</v>
      </c>
      <c r="E170" s="4">
        <v>12000</v>
      </c>
      <c r="F170" s="4">
        <v>22</v>
      </c>
      <c r="G170" s="5">
        <f t="shared" si="2"/>
        <v>264000</v>
      </c>
    </row>
    <row r="171" spans="1:7" ht="15.5" x14ac:dyDescent="0.35">
      <c r="A171" s="6">
        <v>44507</v>
      </c>
      <c r="B171" s="7" t="s">
        <v>23</v>
      </c>
      <c r="C171" s="7" t="s">
        <v>22</v>
      </c>
      <c r="D171" s="7" t="s">
        <v>18</v>
      </c>
      <c r="E171" s="7">
        <v>699</v>
      </c>
      <c r="F171" s="7">
        <v>6</v>
      </c>
      <c r="G171" s="8">
        <f t="shared" si="2"/>
        <v>4194</v>
      </c>
    </row>
    <row r="172" spans="1:7" ht="15.5" x14ac:dyDescent="0.35">
      <c r="A172" s="3">
        <v>44511</v>
      </c>
      <c r="B172" s="4" t="s">
        <v>23</v>
      </c>
      <c r="C172" s="4" t="s">
        <v>16</v>
      </c>
      <c r="D172" s="4" t="s">
        <v>14</v>
      </c>
      <c r="E172" s="4">
        <v>990</v>
      </c>
      <c r="F172" s="4">
        <v>12</v>
      </c>
      <c r="G172" s="5">
        <f t="shared" si="2"/>
        <v>11880</v>
      </c>
    </row>
    <row r="173" spans="1:7" ht="15.5" x14ac:dyDescent="0.35">
      <c r="A173" s="6">
        <v>44515</v>
      </c>
      <c r="B173" s="7" t="s">
        <v>23</v>
      </c>
      <c r="C173" s="7" t="s">
        <v>22</v>
      </c>
      <c r="D173" s="7" t="s">
        <v>9</v>
      </c>
      <c r="E173" s="7">
        <v>450</v>
      </c>
      <c r="F173" s="7">
        <v>44</v>
      </c>
      <c r="G173" s="8">
        <f t="shared" si="2"/>
        <v>19800</v>
      </c>
    </row>
    <row r="174" spans="1:7" ht="15.5" x14ac:dyDescent="0.35">
      <c r="A174" s="3">
        <v>44519</v>
      </c>
      <c r="B174" s="4" t="s">
        <v>23</v>
      </c>
      <c r="C174" s="4" t="s">
        <v>16</v>
      </c>
      <c r="D174" s="4" t="s">
        <v>9</v>
      </c>
      <c r="E174" s="4">
        <v>1499</v>
      </c>
      <c r="F174" s="4">
        <v>15</v>
      </c>
      <c r="G174" s="5">
        <f t="shared" si="2"/>
        <v>22485</v>
      </c>
    </row>
    <row r="175" spans="1:7" ht="15.5" x14ac:dyDescent="0.35">
      <c r="A175" s="6">
        <v>44523</v>
      </c>
      <c r="B175" s="7" t="s">
        <v>7</v>
      </c>
      <c r="C175" s="7" t="s">
        <v>8</v>
      </c>
      <c r="D175" s="7" t="s">
        <v>21</v>
      </c>
      <c r="E175" s="7">
        <v>499</v>
      </c>
      <c r="F175" s="7">
        <v>26</v>
      </c>
      <c r="G175" s="8">
        <f t="shared" si="2"/>
        <v>12974</v>
      </c>
    </row>
    <row r="176" spans="1:7" ht="15.5" x14ac:dyDescent="0.35">
      <c r="A176" s="3">
        <v>44527</v>
      </c>
      <c r="B176" s="4" t="s">
        <v>19</v>
      </c>
      <c r="C176" s="4" t="s">
        <v>13</v>
      </c>
      <c r="D176" s="4" t="s">
        <v>21</v>
      </c>
      <c r="E176" s="4">
        <v>960</v>
      </c>
      <c r="F176" s="4">
        <v>16</v>
      </c>
      <c r="G176" s="5">
        <f t="shared" si="2"/>
        <v>15360</v>
      </c>
    </row>
    <row r="177" spans="1:7" ht="15.5" x14ac:dyDescent="0.35">
      <c r="A177" s="6">
        <v>44531</v>
      </c>
      <c r="B177" s="7" t="s">
        <v>12</v>
      </c>
      <c r="C177" s="7" t="s">
        <v>16</v>
      </c>
      <c r="D177" s="7" t="s">
        <v>18</v>
      </c>
      <c r="E177" s="7">
        <v>5599</v>
      </c>
      <c r="F177" s="7">
        <v>35</v>
      </c>
      <c r="G177" s="8">
        <f t="shared" si="2"/>
        <v>195965</v>
      </c>
    </row>
    <row r="178" spans="1:7" ht="15.5" x14ac:dyDescent="0.35">
      <c r="A178" s="3">
        <v>44535</v>
      </c>
      <c r="B178" s="4" t="s">
        <v>15</v>
      </c>
      <c r="C178" s="4" t="s">
        <v>17</v>
      </c>
      <c r="D178" s="4" t="s">
        <v>9</v>
      </c>
      <c r="E178" s="4">
        <v>89</v>
      </c>
      <c r="F178" s="4">
        <v>36</v>
      </c>
      <c r="G178" s="5">
        <f t="shared" si="2"/>
        <v>3204</v>
      </c>
    </row>
    <row r="179" spans="1:7" ht="15.5" x14ac:dyDescent="0.35">
      <c r="A179" s="6">
        <v>44539</v>
      </c>
      <c r="B179" s="7" t="s">
        <v>7</v>
      </c>
      <c r="C179" s="7" t="s">
        <v>8</v>
      </c>
      <c r="D179" s="7" t="s">
        <v>14</v>
      </c>
      <c r="E179" s="7">
        <v>2550</v>
      </c>
      <c r="F179" s="7">
        <v>20</v>
      </c>
      <c r="G179" s="8">
        <f t="shared" si="2"/>
        <v>51000</v>
      </c>
    </row>
    <row r="180" spans="1:7" ht="15.5" x14ac:dyDescent="0.35">
      <c r="A180" s="3">
        <v>44543</v>
      </c>
      <c r="B180" s="4" t="s">
        <v>7</v>
      </c>
      <c r="C180" s="4" t="s">
        <v>8</v>
      </c>
      <c r="D180" s="4" t="s">
        <v>9</v>
      </c>
      <c r="E180" s="4">
        <v>1450</v>
      </c>
      <c r="F180" s="4">
        <v>47</v>
      </c>
      <c r="G180" s="5">
        <f t="shared" si="2"/>
        <v>68150</v>
      </c>
    </row>
    <row r="181" spans="1:7" ht="15.5" x14ac:dyDescent="0.35">
      <c r="A181" s="6">
        <v>44547</v>
      </c>
      <c r="B181" s="7" t="s">
        <v>23</v>
      </c>
      <c r="C181" s="7" t="s">
        <v>22</v>
      </c>
      <c r="D181" s="7" t="s">
        <v>18</v>
      </c>
      <c r="E181" s="7">
        <v>2900</v>
      </c>
      <c r="F181" s="7">
        <v>6</v>
      </c>
      <c r="G181" s="8">
        <f t="shared" si="2"/>
        <v>17400</v>
      </c>
    </row>
    <row r="182" spans="1:7" ht="15.5" x14ac:dyDescent="0.35">
      <c r="A182" s="3">
        <v>44551</v>
      </c>
      <c r="B182" s="4" t="s">
        <v>15</v>
      </c>
      <c r="C182" s="4" t="s">
        <v>17</v>
      </c>
      <c r="D182" s="4" t="s">
        <v>21</v>
      </c>
      <c r="E182" s="4">
        <v>120</v>
      </c>
      <c r="F182" s="4">
        <v>6</v>
      </c>
      <c r="G182" s="5">
        <f t="shared" si="2"/>
        <v>720</v>
      </c>
    </row>
    <row r="183" spans="1:7" ht="15.5" x14ac:dyDescent="0.35">
      <c r="A183" s="6">
        <v>44555</v>
      </c>
      <c r="B183" s="7" t="s">
        <v>19</v>
      </c>
      <c r="C183" s="7" t="s">
        <v>20</v>
      </c>
      <c r="D183" s="7" t="s">
        <v>21</v>
      </c>
      <c r="E183" s="7">
        <v>52000</v>
      </c>
      <c r="F183" s="7">
        <v>41</v>
      </c>
      <c r="G183" s="8">
        <f t="shared" si="2"/>
        <v>2132000</v>
      </c>
    </row>
    <row r="184" spans="1:7" ht="15.5" x14ac:dyDescent="0.35">
      <c r="A184" s="3">
        <v>44559</v>
      </c>
      <c r="B184" s="4" t="s">
        <v>23</v>
      </c>
      <c r="C184" s="4" t="s">
        <v>22</v>
      </c>
      <c r="D184" s="4" t="s">
        <v>14</v>
      </c>
      <c r="E184" s="4">
        <v>590</v>
      </c>
      <c r="F184" s="4">
        <v>29</v>
      </c>
      <c r="G184" s="5">
        <f t="shared" si="2"/>
        <v>17110</v>
      </c>
    </row>
    <row r="185" spans="1:7" ht="15.5" x14ac:dyDescent="0.35">
      <c r="A185" s="6">
        <v>44563</v>
      </c>
      <c r="B185" s="7" t="s">
        <v>19</v>
      </c>
      <c r="C185" s="7" t="s">
        <v>16</v>
      </c>
      <c r="D185" s="7" t="s">
        <v>24</v>
      </c>
      <c r="E185" s="7">
        <v>7999</v>
      </c>
      <c r="F185" s="7">
        <v>31</v>
      </c>
      <c r="G185" s="8">
        <f t="shared" si="2"/>
        <v>247969</v>
      </c>
    </row>
    <row r="186" spans="1:7" ht="15.5" x14ac:dyDescent="0.35">
      <c r="A186" s="3">
        <v>44567</v>
      </c>
      <c r="B186" s="4" t="s">
        <v>10</v>
      </c>
      <c r="C186" s="4" t="s">
        <v>17</v>
      </c>
      <c r="D186" s="4" t="s">
        <v>14</v>
      </c>
      <c r="E186" s="4">
        <v>999</v>
      </c>
      <c r="F186" s="4">
        <v>34</v>
      </c>
      <c r="G186" s="5">
        <f t="shared" si="2"/>
        <v>33966</v>
      </c>
    </row>
    <row r="187" spans="1:7" ht="15.5" x14ac:dyDescent="0.35">
      <c r="A187" s="6">
        <v>44571</v>
      </c>
      <c r="B187" s="7" t="s">
        <v>12</v>
      </c>
      <c r="C187" s="7" t="s">
        <v>22</v>
      </c>
      <c r="D187" s="7" t="s">
        <v>9</v>
      </c>
      <c r="E187" s="7">
        <v>990</v>
      </c>
      <c r="F187" s="7">
        <v>43</v>
      </c>
      <c r="G187" s="8">
        <f t="shared" si="2"/>
        <v>42570</v>
      </c>
    </row>
    <row r="188" spans="1:7" ht="15.5" x14ac:dyDescent="0.35">
      <c r="A188" s="3">
        <v>44575</v>
      </c>
      <c r="B188" s="4" t="s">
        <v>19</v>
      </c>
      <c r="C188" s="4" t="s">
        <v>20</v>
      </c>
      <c r="D188" s="4" t="s">
        <v>9</v>
      </c>
      <c r="E188" s="4">
        <v>11999</v>
      </c>
      <c r="F188" s="4">
        <v>37</v>
      </c>
      <c r="G188" s="5">
        <f t="shared" si="2"/>
        <v>443963</v>
      </c>
    </row>
    <row r="189" spans="1:7" ht="15.5" x14ac:dyDescent="0.35">
      <c r="A189" s="6">
        <v>44579</v>
      </c>
      <c r="B189" s="7" t="s">
        <v>19</v>
      </c>
      <c r="C189" s="7" t="s">
        <v>13</v>
      </c>
      <c r="D189" s="7" t="s">
        <v>9</v>
      </c>
      <c r="E189" s="7">
        <v>960</v>
      </c>
      <c r="F189" s="7">
        <v>7</v>
      </c>
      <c r="G189" s="8">
        <f t="shared" si="2"/>
        <v>6720</v>
      </c>
    </row>
    <row r="190" spans="1:7" ht="15.5" x14ac:dyDescent="0.35">
      <c r="A190" s="3">
        <v>44583</v>
      </c>
      <c r="B190" s="4" t="s">
        <v>7</v>
      </c>
      <c r="C190" s="4" t="s">
        <v>8</v>
      </c>
      <c r="D190" s="4" t="s">
        <v>14</v>
      </c>
      <c r="E190" s="4">
        <v>1450</v>
      </c>
      <c r="F190" s="4">
        <v>19</v>
      </c>
      <c r="G190" s="5">
        <f t="shared" si="2"/>
        <v>27550</v>
      </c>
    </row>
    <row r="191" spans="1:7" ht="15.5" x14ac:dyDescent="0.35">
      <c r="A191" s="6">
        <v>44587</v>
      </c>
      <c r="B191" s="7" t="s">
        <v>23</v>
      </c>
      <c r="C191" s="7" t="s">
        <v>22</v>
      </c>
      <c r="D191" s="7" t="s">
        <v>11</v>
      </c>
      <c r="E191" s="7">
        <v>450</v>
      </c>
      <c r="F191" s="7">
        <v>47</v>
      </c>
      <c r="G191" s="8">
        <f t="shared" si="2"/>
        <v>21150</v>
      </c>
    </row>
    <row r="192" spans="1:7" ht="15.5" x14ac:dyDescent="0.35">
      <c r="A192" s="3">
        <v>44591</v>
      </c>
      <c r="B192" s="4" t="s">
        <v>10</v>
      </c>
      <c r="C192" s="4" t="s">
        <v>22</v>
      </c>
      <c r="D192" s="4" t="s">
        <v>14</v>
      </c>
      <c r="E192" s="4">
        <v>1499</v>
      </c>
      <c r="F192" s="4">
        <v>37</v>
      </c>
      <c r="G192" s="5">
        <f t="shared" si="2"/>
        <v>55463</v>
      </c>
    </row>
    <row r="193" spans="1:7" ht="15.5" x14ac:dyDescent="0.35">
      <c r="A193" s="6">
        <v>44595</v>
      </c>
      <c r="B193" s="7" t="s">
        <v>12</v>
      </c>
      <c r="C193" s="7" t="s">
        <v>20</v>
      </c>
      <c r="D193" s="7" t="s">
        <v>11</v>
      </c>
      <c r="E193" s="7">
        <v>79999</v>
      </c>
      <c r="F193" s="7">
        <v>4</v>
      </c>
      <c r="G193" s="8">
        <f t="shared" si="2"/>
        <v>319996</v>
      </c>
    </row>
    <row r="194" spans="1:7" ht="15.5" x14ac:dyDescent="0.35">
      <c r="A194" s="3">
        <v>44599</v>
      </c>
      <c r="B194" s="4" t="s">
        <v>12</v>
      </c>
      <c r="C194" s="4" t="s">
        <v>17</v>
      </c>
      <c r="D194" s="4" t="s">
        <v>21</v>
      </c>
      <c r="E194" s="4">
        <v>999</v>
      </c>
      <c r="F194" s="4">
        <v>45</v>
      </c>
      <c r="G194" s="5">
        <f t="shared" si="2"/>
        <v>44955</v>
      </c>
    </row>
    <row r="195" spans="1:7" ht="15.5" x14ac:dyDescent="0.35">
      <c r="A195" s="6">
        <v>44603</v>
      </c>
      <c r="B195" s="7" t="s">
        <v>19</v>
      </c>
      <c r="C195" s="7" t="s">
        <v>20</v>
      </c>
      <c r="D195" s="7" t="s">
        <v>9</v>
      </c>
      <c r="E195" s="7">
        <v>52000</v>
      </c>
      <c r="F195" s="7">
        <v>15</v>
      </c>
      <c r="G195" s="8">
        <f t="shared" ref="G195:G258" si="3">E195*F195</f>
        <v>780000</v>
      </c>
    </row>
    <row r="196" spans="1:7" ht="15.5" x14ac:dyDescent="0.35">
      <c r="A196" s="3">
        <v>44607</v>
      </c>
      <c r="B196" s="4" t="s">
        <v>19</v>
      </c>
      <c r="C196" s="4" t="s">
        <v>20</v>
      </c>
      <c r="D196" s="4" t="s">
        <v>18</v>
      </c>
      <c r="E196" s="4">
        <v>52000</v>
      </c>
      <c r="F196" s="4">
        <v>39</v>
      </c>
      <c r="G196" s="5">
        <f t="shared" si="3"/>
        <v>2028000</v>
      </c>
    </row>
    <row r="197" spans="1:7" ht="15.5" x14ac:dyDescent="0.35">
      <c r="A197" s="6">
        <v>44611</v>
      </c>
      <c r="B197" s="7" t="s">
        <v>19</v>
      </c>
      <c r="C197" s="7" t="s">
        <v>13</v>
      </c>
      <c r="D197" s="7" t="s">
        <v>14</v>
      </c>
      <c r="E197" s="7">
        <v>960</v>
      </c>
      <c r="F197" s="7">
        <v>33</v>
      </c>
      <c r="G197" s="8">
        <f t="shared" si="3"/>
        <v>31680</v>
      </c>
    </row>
    <row r="198" spans="1:7" ht="15.5" x14ac:dyDescent="0.35">
      <c r="A198" s="3">
        <v>44615</v>
      </c>
      <c r="B198" s="4" t="s">
        <v>19</v>
      </c>
      <c r="C198" s="4" t="s">
        <v>13</v>
      </c>
      <c r="D198" s="4" t="s">
        <v>14</v>
      </c>
      <c r="E198" s="4">
        <v>1450</v>
      </c>
      <c r="F198" s="4">
        <v>34</v>
      </c>
      <c r="G198" s="5">
        <f t="shared" si="3"/>
        <v>49300</v>
      </c>
    </row>
    <row r="199" spans="1:7" ht="15.5" x14ac:dyDescent="0.35">
      <c r="A199" s="6">
        <v>44619</v>
      </c>
      <c r="B199" s="7" t="s">
        <v>19</v>
      </c>
      <c r="C199" s="7" t="s">
        <v>16</v>
      </c>
      <c r="D199" s="7" t="s">
        <v>18</v>
      </c>
      <c r="E199" s="7">
        <v>2999</v>
      </c>
      <c r="F199" s="7">
        <v>33</v>
      </c>
      <c r="G199" s="8">
        <f t="shared" si="3"/>
        <v>98967</v>
      </c>
    </row>
    <row r="200" spans="1:7" ht="15.5" x14ac:dyDescent="0.35">
      <c r="A200" s="3">
        <v>44623</v>
      </c>
      <c r="B200" s="4" t="s">
        <v>12</v>
      </c>
      <c r="C200" s="4" t="s">
        <v>13</v>
      </c>
      <c r="D200" s="4" t="s">
        <v>21</v>
      </c>
      <c r="E200" s="4">
        <v>1250</v>
      </c>
      <c r="F200" s="4">
        <v>14</v>
      </c>
      <c r="G200" s="5">
        <f t="shared" si="3"/>
        <v>17500</v>
      </c>
    </row>
    <row r="201" spans="1:7" ht="15.5" x14ac:dyDescent="0.35">
      <c r="A201" s="6">
        <v>44627</v>
      </c>
      <c r="B201" s="7" t="s">
        <v>15</v>
      </c>
      <c r="C201" s="7" t="s">
        <v>17</v>
      </c>
      <c r="D201" s="7" t="s">
        <v>9</v>
      </c>
      <c r="E201" s="7">
        <v>120</v>
      </c>
      <c r="F201" s="7">
        <v>41</v>
      </c>
      <c r="G201" s="8">
        <f t="shared" si="3"/>
        <v>4920</v>
      </c>
    </row>
    <row r="202" spans="1:7" ht="15.5" x14ac:dyDescent="0.35">
      <c r="A202" s="3">
        <v>44631</v>
      </c>
      <c r="B202" s="4" t="s">
        <v>10</v>
      </c>
      <c r="C202" s="4" t="s">
        <v>8</v>
      </c>
      <c r="D202" s="4" t="s">
        <v>18</v>
      </c>
      <c r="E202" s="4">
        <v>1450</v>
      </c>
      <c r="F202" s="4">
        <v>22</v>
      </c>
      <c r="G202" s="5">
        <f t="shared" si="3"/>
        <v>31900</v>
      </c>
    </row>
    <row r="203" spans="1:7" ht="15.5" x14ac:dyDescent="0.35">
      <c r="A203" s="6">
        <v>44635</v>
      </c>
      <c r="B203" s="7" t="s">
        <v>10</v>
      </c>
      <c r="C203" s="7" t="s">
        <v>20</v>
      </c>
      <c r="D203" s="7" t="s">
        <v>9</v>
      </c>
      <c r="E203" s="7">
        <v>89999</v>
      </c>
      <c r="F203" s="7">
        <v>15</v>
      </c>
      <c r="G203" s="8">
        <f t="shared" si="3"/>
        <v>1349985</v>
      </c>
    </row>
    <row r="204" spans="1:7" ht="15.5" x14ac:dyDescent="0.35">
      <c r="A204" s="3">
        <v>44639</v>
      </c>
      <c r="B204" s="4" t="s">
        <v>23</v>
      </c>
      <c r="C204" s="4" t="s">
        <v>22</v>
      </c>
      <c r="D204" s="4" t="s">
        <v>14</v>
      </c>
      <c r="E204" s="4">
        <v>1999</v>
      </c>
      <c r="F204" s="4">
        <v>48</v>
      </c>
      <c r="G204" s="5">
        <f t="shared" si="3"/>
        <v>95952</v>
      </c>
    </row>
    <row r="205" spans="1:7" ht="15.5" x14ac:dyDescent="0.35">
      <c r="A205" s="6">
        <v>44643</v>
      </c>
      <c r="B205" s="7" t="s">
        <v>23</v>
      </c>
      <c r="C205" s="7" t="s">
        <v>16</v>
      </c>
      <c r="D205" s="7" t="s">
        <v>18</v>
      </c>
      <c r="E205" s="7">
        <v>2900</v>
      </c>
      <c r="F205" s="7">
        <v>49</v>
      </c>
      <c r="G205" s="8">
        <f t="shared" si="3"/>
        <v>142100</v>
      </c>
    </row>
    <row r="206" spans="1:7" ht="15.5" x14ac:dyDescent="0.35">
      <c r="A206" s="3">
        <v>44647</v>
      </c>
      <c r="B206" s="4" t="s">
        <v>19</v>
      </c>
      <c r="C206" s="4" t="s">
        <v>20</v>
      </c>
      <c r="D206" s="4" t="s">
        <v>21</v>
      </c>
      <c r="E206" s="4">
        <v>700</v>
      </c>
      <c r="F206" s="4">
        <v>50</v>
      </c>
      <c r="G206" s="5">
        <f t="shared" si="3"/>
        <v>35000</v>
      </c>
    </row>
    <row r="207" spans="1:7" ht="15.5" x14ac:dyDescent="0.35">
      <c r="A207" s="6">
        <v>44651</v>
      </c>
      <c r="B207" s="7" t="s">
        <v>15</v>
      </c>
      <c r="C207" s="7" t="s">
        <v>17</v>
      </c>
      <c r="D207" s="7" t="s">
        <v>18</v>
      </c>
      <c r="E207" s="7">
        <v>200</v>
      </c>
      <c r="F207" s="7">
        <v>41</v>
      </c>
      <c r="G207" s="8">
        <f t="shared" si="3"/>
        <v>8200</v>
      </c>
    </row>
    <row r="208" spans="1:7" ht="15.5" x14ac:dyDescent="0.35">
      <c r="A208" s="3">
        <v>44655</v>
      </c>
      <c r="B208" s="4" t="s">
        <v>7</v>
      </c>
      <c r="C208" s="4" t="s">
        <v>8</v>
      </c>
      <c r="D208" s="4" t="s">
        <v>14</v>
      </c>
      <c r="E208" s="4">
        <v>499</v>
      </c>
      <c r="F208" s="4">
        <v>29</v>
      </c>
      <c r="G208" s="5">
        <f t="shared" si="3"/>
        <v>14471</v>
      </c>
    </row>
    <row r="209" spans="1:7" ht="15.5" x14ac:dyDescent="0.35">
      <c r="A209" s="6">
        <v>44659</v>
      </c>
      <c r="B209" s="7" t="s">
        <v>12</v>
      </c>
      <c r="C209" s="7" t="s">
        <v>8</v>
      </c>
      <c r="D209" s="7" t="s">
        <v>24</v>
      </c>
      <c r="E209" s="7">
        <v>5599</v>
      </c>
      <c r="F209" s="7">
        <v>36</v>
      </c>
      <c r="G209" s="8">
        <f t="shared" si="3"/>
        <v>201564</v>
      </c>
    </row>
    <row r="210" spans="1:7" ht="15.5" x14ac:dyDescent="0.35">
      <c r="A210" s="3">
        <v>44663</v>
      </c>
      <c r="B210" s="4" t="s">
        <v>10</v>
      </c>
      <c r="C210" s="4" t="s">
        <v>17</v>
      </c>
      <c r="D210" s="4" t="s">
        <v>18</v>
      </c>
      <c r="E210" s="4">
        <v>100</v>
      </c>
      <c r="F210" s="4">
        <v>39</v>
      </c>
      <c r="G210" s="5">
        <f t="shared" si="3"/>
        <v>3900</v>
      </c>
    </row>
    <row r="211" spans="1:7" ht="15.5" x14ac:dyDescent="0.35">
      <c r="A211" s="6">
        <v>44667</v>
      </c>
      <c r="B211" s="7" t="s">
        <v>19</v>
      </c>
      <c r="C211" s="7" t="s">
        <v>16</v>
      </c>
      <c r="D211" s="7" t="s">
        <v>18</v>
      </c>
      <c r="E211" s="7">
        <v>79999</v>
      </c>
      <c r="F211" s="7">
        <v>9</v>
      </c>
      <c r="G211" s="8">
        <f t="shared" si="3"/>
        <v>719991</v>
      </c>
    </row>
    <row r="212" spans="1:7" ht="15.5" x14ac:dyDescent="0.35">
      <c r="A212" s="3">
        <v>44671</v>
      </c>
      <c r="B212" s="4" t="s">
        <v>12</v>
      </c>
      <c r="C212" s="4" t="s">
        <v>20</v>
      </c>
      <c r="D212" s="4" t="s">
        <v>14</v>
      </c>
      <c r="E212" s="4">
        <v>700</v>
      </c>
      <c r="F212" s="4">
        <v>38</v>
      </c>
      <c r="G212" s="5">
        <f t="shared" si="3"/>
        <v>26600</v>
      </c>
    </row>
    <row r="213" spans="1:7" ht="15.5" x14ac:dyDescent="0.35">
      <c r="A213" s="6">
        <v>44675</v>
      </c>
      <c r="B213" s="7" t="s">
        <v>19</v>
      </c>
      <c r="C213" s="7" t="s">
        <v>13</v>
      </c>
      <c r="D213" s="7" t="s">
        <v>9</v>
      </c>
      <c r="E213" s="7">
        <v>550</v>
      </c>
      <c r="F213" s="7">
        <v>25</v>
      </c>
      <c r="G213" s="8">
        <f t="shared" si="3"/>
        <v>13750</v>
      </c>
    </row>
    <row r="214" spans="1:7" ht="15.5" x14ac:dyDescent="0.35">
      <c r="A214" s="3">
        <v>44679</v>
      </c>
      <c r="B214" s="4" t="s">
        <v>23</v>
      </c>
      <c r="C214" s="4" t="s">
        <v>22</v>
      </c>
      <c r="D214" s="4" t="s">
        <v>18</v>
      </c>
      <c r="E214" s="4">
        <v>1499</v>
      </c>
      <c r="F214" s="4">
        <v>16</v>
      </c>
      <c r="G214" s="5">
        <f t="shared" si="3"/>
        <v>23984</v>
      </c>
    </row>
    <row r="215" spans="1:7" ht="15.5" x14ac:dyDescent="0.35">
      <c r="A215" s="6">
        <v>44683</v>
      </c>
      <c r="B215" s="7" t="s">
        <v>15</v>
      </c>
      <c r="C215" s="7" t="s">
        <v>17</v>
      </c>
      <c r="D215" s="7" t="s">
        <v>21</v>
      </c>
      <c r="E215" s="7">
        <v>120</v>
      </c>
      <c r="F215" s="7">
        <v>22</v>
      </c>
      <c r="G215" s="8">
        <f t="shared" si="3"/>
        <v>2640</v>
      </c>
    </row>
    <row r="216" spans="1:7" ht="15.5" x14ac:dyDescent="0.35">
      <c r="A216" s="3">
        <v>44687</v>
      </c>
      <c r="B216" s="4" t="s">
        <v>7</v>
      </c>
      <c r="C216" s="4" t="s">
        <v>8</v>
      </c>
      <c r="D216" s="4" t="s">
        <v>11</v>
      </c>
      <c r="E216" s="4">
        <v>1450</v>
      </c>
      <c r="F216" s="4">
        <v>20</v>
      </c>
      <c r="G216" s="5">
        <f t="shared" si="3"/>
        <v>29000</v>
      </c>
    </row>
    <row r="217" spans="1:7" ht="15.5" x14ac:dyDescent="0.35">
      <c r="A217" s="6">
        <v>44691</v>
      </c>
      <c r="B217" s="7" t="s">
        <v>23</v>
      </c>
      <c r="C217" s="7" t="s">
        <v>16</v>
      </c>
      <c r="D217" s="7" t="s">
        <v>14</v>
      </c>
      <c r="E217" s="7">
        <v>1999</v>
      </c>
      <c r="F217" s="7">
        <v>23</v>
      </c>
      <c r="G217" s="8">
        <f t="shared" si="3"/>
        <v>45977</v>
      </c>
    </row>
    <row r="218" spans="1:7" ht="15.5" x14ac:dyDescent="0.35">
      <c r="A218" s="3">
        <v>44695</v>
      </c>
      <c r="B218" s="4" t="s">
        <v>7</v>
      </c>
      <c r="C218" s="4" t="s">
        <v>8</v>
      </c>
      <c r="D218" s="4" t="s">
        <v>18</v>
      </c>
      <c r="E218" s="4">
        <v>800</v>
      </c>
      <c r="F218" s="4">
        <v>43</v>
      </c>
      <c r="G218" s="5">
        <f t="shared" si="3"/>
        <v>34400</v>
      </c>
    </row>
    <row r="219" spans="1:7" ht="15.5" x14ac:dyDescent="0.35">
      <c r="A219" s="6">
        <v>44699</v>
      </c>
      <c r="B219" s="7" t="s">
        <v>12</v>
      </c>
      <c r="C219" s="7" t="s">
        <v>17</v>
      </c>
      <c r="D219" s="7" t="s">
        <v>21</v>
      </c>
      <c r="E219" s="7">
        <v>100</v>
      </c>
      <c r="F219" s="7">
        <v>41</v>
      </c>
      <c r="G219" s="8">
        <f t="shared" si="3"/>
        <v>4100</v>
      </c>
    </row>
    <row r="220" spans="1:7" ht="15.5" x14ac:dyDescent="0.35">
      <c r="A220" s="3">
        <v>44703</v>
      </c>
      <c r="B220" s="4" t="s">
        <v>7</v>
      </c>
      <c r="C220" s="4" t="s">
        <v>8</v>
      </c>
      <c r="D220" s="4" t="s">
        <v>14</v>
      </c>
      <c r="E220" s="4">
        <v>13999</v>
      </c>
      <c r="F220" s="4">
        <v>37</v>
      </c>
      <c r="G220" s="5">
        <f t="shared" si="3"/>
        <v>517963</v>
      </c>
    </row>
    <row r="221" spans="1:7" ht="15.5" x14ac:dyDescent="0.35">
      <c r="A221" s="6">
        <v>44707</v>
      </c>
      <c r="B221" s="7" t="s">
        <v>19</v>
      </c>
      <c r="C221" s="7" t="s">
        <v>20</v>
      </c>
      <c r="D221" s="7" t="s">
        <v>18</v>
      </c>
      <c r="E221" s="7">
        <v>22000</v>
      </c>
      <c r="F221" s="7">
        <v>45</v>
      </c>
      <c r="G221" s="8">
        <f t="shared" si="3"/>
        <v>990000</v>
      </c>
    </row>
    <row r="222" spans="1:7" ht="15.5" x14ac:dyDescent="0.35">
      <c r="A222" s="3">
        <v>44711</v>
      </c>
      <c r="B222" s="4" t="s">
        <v>19</v>
      </c>
      <c r="C222" s="4" t="s">
        <v>20</v>
      </c>
      <c r="D222" s="4" t="s">
        <v>24</v>
      </c>
      <c r="E222" s="4">
        <v>89999</v>
      </c>
      <c r="F222" s="4">
        <v>15</v>
      </c>
      <c r="G222" s="5">
        <f t="shared" si="3"/>
        <v>1349985</v>
      </c>
    </row>
    <row r="223" spans="1:7" ht="15.5" x14ac:dyDescent="0.35">
      <c r="A223" s="6">
        <v>44715</v>
      </c>
      <c r="B223" s="7" t="s">
        <v>10</v>
      </c>
      <c r="C223" s="7" t="s">
        <v>16</v>
      </c>
      <c r="D223" s="7" t="s">
        <v>18</v>
      </c>
      <c r="E223" s="7">
        <v>13999</v>
      </c>
      <c r="F223" s="7">
        <v>22</v>
      </c>
      <c r="G223" s="8">
        <f t="shared" si="3"/>
        <v>307978</v>
      </c>
    </row>
    <row r="224" spans="1:7" ht="15.5" x14ac:dyDescent="0.35">
      <c r="A224" s="3">
        <v>44719</v>
      </c>
      <c r="B224" s="4" t="s">
        <v>12</v>
      </c>
      <c r="C224" s="4" t="s">
        <v>22</v>
      </c>
      <c r="D224" s="4" t="s">
        <v>14</v>
      </c>
      <c r="E224" s="4">
        <v>2900</v>
      </c>
      <c r="F224" s="4">
        <v>20</v>
      </c>
      <c r="G224" s="5">
        <f t="shared" si="3"/>
        <v>58000</v>
      </c>
    </row>
    <row r="225" spans="1:7" ht="15.5" x14ac:dyDescent="0.35">
      <c r="A225" s="6">
        <v>44723</v>
      </c>
      <c r="B225" s="7" t="s">
        <v>10</v>
      </c>
      <c r="C225" s="7" t="s">
        <v>20</v>
      </c>
      <c r="D225" s="7" t="s">
        <v>18</v>
      </c>
      <c r="E225" s="7">
        <v>33000</v>
      </c>
      <c r="F225" s="7">
        <v>16</v>
      </c>
      <c r="G225" s="8">
        <f t="shared" si="3"/>
        <v>528000</v>
      </c>
    </row>
    <row r="226" spans="1:7" ht="15.5" x14ac:dyDescent="0.35">
      <c r="A226" s="3">
        <v>44727</v>
      </c>
      <c r="B226" s="4" t="s">
        <v>19</v>
      </c>
      <c r="C226" s="4" t="s">
        <v>16</v>
      </c>
      <c r="D226" s="4" t="s">
        <v>11</v>
      </c>
      <c r="E226" s="4">
        <v>22000</v>
      </c>
      <c r="F226" s="4">
        <v>17</v>
      </c>
      <c r="G226" s="5">
        <f t="shared" si="3"/>
        <v>374000</v>
      </c>
    </row>
    <row r="227" spans="1:7" ht="15.5" x14ac:dyDescent="0.35">
      <c r="A227" s="6">
        <v>44731</v>
      </c>
      <c r="B227" s="7" t="s">
        <v>23</v>
      </c>
      <c r="C227" s="7" t="s">
        <v>22</v>
      </c>
      <c r="D227" s="7" t="s">
        <v>11</v>
      </c>
      <c r="E227" s="7">
        <v>699</v>
      </c>
      <c r="F227" s="7">
        <v>50</v>
      </c>
      <c r="G227" s="8">
        <f t="shared" si="3"/>
        <v>34950</v>
      </c>
    </row>
    <row r="228" spans="1:7" ht="15.5" x14ac:dyDescent="0.35">
      <c r="A228" s="3">
        <v>44735</v>
      </c>
      <c r="B228" s="4" t="s">
        <v>12</v>
      </c>
      <c r="C228" s="4" t="s">
        <v>20</v>
      </c>
      <c r="D228" s="4" t="s">
        <v>14</v>
      </c>
      <c r="E228" s="4">
        <v>499</v>
      </c>
      <c r="F228" s="4">
        <v>4</v>
      </c>
      <c r="G228" s="5">
        <f t="shared" si="3"/>
        <v>1996</v>
      </c>
    </row>
    <row r="229" spans="1:7" ht="15.5" x14ac:dyDescent="0.35">
      <c r="A229" s="6">
        <v>44739</v>
      </c>
      <c r="B229" s="7" t="s">
        <v>23</v>
      </c>
      <c r="C229" s="7" t="s">
        <v>22</v>
      </c>
      <c r="D229" s="7" t="s">
        <v>18</v>
      </c>
      <c r="E229" s="7">
        <v>590</v>
      </c>
      <c r="F229" s="7">
        <v>43</v>
      </c>
      <c r="G229" s="8">
        <f t="shared" si="3"/>
        <v>25370</v>
      </c>
    </row>
    <row r="230" spans="1:7" ht="15.5" x14ac:dyDescent="0.35">
      <c r="A230" s="3">
        <v>44743</v>
      </c>
      <c r="B230" s="4" t="s">
        <v>23</v>
      </c>
      <c r="C230" s="4" t="s">
        <v>22</v>
      </c>
      <c r="D230" s="4" t="s">
        <v>11</v>
      </c>
      <c r="E230" s="4">
        <v>590</v>
      </c>
      <c r="F230" s="4">
        <v>42</v>
      </c>
      <c r="G230" s="5">
        <f t="shared" si="3"/>
        <v>24780</v>
      </c>
    </row>
    <row r="231" spans="1:7" ht="15.5" x14ac:dyDescent="0.35">
      <c r="A231" s="6">
        <v>44747</v>
      </c>
      <c r="B231" s="7" t="s">
        <v>15</v>
      </c>
      <c r="C231" s="7" t="s">
        <v>17</v>
      </c>
      <c r="D231" s="7" t="s">
        <v>9</v>
      </c>
      <c r="E231" s="7">
        <v>120</v>
      </c>
      <c r="F231" s="7">
        <v>9</v>
      </c>
      <c r="G231" s="8">
        <f t="shared" si="3"/>
        <v>1080</v>
      </c>
    </row>
    <row r="232" spans="1:7" ht="15.5" x14ac:dyDescent="0.35">
      <c r="A232" s="3">
        <v>44751</v>
      </c>
      <c r="B232" s="4" t="s">
        <v>12</v>
      </c>
      <c r="C232" s="4" t="s">
        <v>20</v>
      </c>
      <c r="D232" s="4" t="s">
        <v>24</v>
      </c>
      <c r="E232" s="4">
        <v>52000</v>
      </c>
      <c r="F232" s="4">
        <v>40</v>
      </c>
      <c r="G232" s="5">
        <f t="shared" si="3"/>
        <v>2080000</v>
      </c>
    </row>
    <row r="233" spans="1:7" ht="15.5" x14ac:dyDescent="0.35">
      <c r="A233" s="6">
        <v>44755</v>
      </c>
      <c r="B233" s="7" t="s">
        <v>19</v>
      </c>
      <c r="C233" s="7" t="s">
        <v>16</v>
      </c>
      <c r="D233" s="7" t="s">
        <v>18</v>
      </c>
      <c r="E233" s="7">
        <v>7999</v>
      </c>
      <c r="F233" s="7">
        <v>14</v>
      </c>
      <c r="G233" s="8">
        <f t="shared" si="3"/>
        <v>111986</v>
      </c>
    </row>
    <row r="234" spans="1:7" ht="15.5" x14ac:dyDescent="0.35">
      <c r="A234" s="3">
        <v>44759</v>
      </c>
      <c r="B234" s="4" t="s">
        <v>12</v>
      </c>
      <c r="C234" s="4" t="s">
        <v>13</v>
      </c>
      <c r="D234" s="4" t="s">
        <v>21</v>
      </c>
      <c r="E234" s="4">
        <v>550</v>
      </c>
      <c r="F234" s="4">
        <v>9</v>
      </c>
      <c r="G234" s="5">
        <f t="shared" si="3"/>
        <v>4950</v>
      </c>
    </row>
    <row r="235" spans="1:7" ht="15.5" x14ac:dyDescent="0.35">
      <c r="A235" s="6">
        <v>44763</v>
      </c>
      <c r="B235" s="7" t="s">
        <v>19</v>
      </c>
      <c r="C235" s="7" t="s">
        <v>20</v>
      </c>
      <c r="D235" s="7" t="s">
        <v>18</v>
      </c>
      <c r="E235" s="7">
        <v>79999</v>
      </c>
      <c r="F235" s="7">
        <v>10</v>
      </c>
      <c r="G235" s="8">
        <f t="shared" si="3"/>
        <v>799990</v>
      </c>
    </row>
    <row r="236" spans="1:7" ht="15.5" x14ac:dyDescent="0.35">
      <c r="A236" s="3">
        <v>44767</v>
      </c>
      <c r="B236" s="4" t="s">
        <v>10</v>
      </c>
      <c r="C236" s="4" t="s">
        <v>16</v>
      </c>
      <c r="D236" s="4" t="s">
        <v>11</v>
      </c>
      <c r="E236" s="4">
        <v>1999</v>
      </c>
      <c r="F236" s="4">
        <v>37</v>
      </c>
      <c r="G236" s="5">
        <f t="shared" si="3"/>
        <v>73963</v>
      </c>
    </row>
    <row r="237" spans="1:7" ht="15.5" x14ac:dyDescent="0.35">
      <c r="A237" s="6">
        <v>44771</v>
      </c>
      <c r="B237" s="7" t="s">
        <v>12</v>
      </c>
      <c r="C237" s="7" t="s">
        <v>20</v>
      </c>
      <c r="D237" s="7" t="s">
        <v>18</v>
      </c>
      <c r="E237" s="7">
        <v>89999</v>
      </c>
      <c r="F237" s="7">
        <v>29</v>
      </c>
      <c r="G237" s="8">
        <f t="shared" si="3"/>
        <v>2609971</v>
      </c>
    </row>
    <row r="238" spans="1:7" ht="15.5" x14ac:dyDescent="0.35">
      <c r="A238" s="3">
        <v>44775</v>
      </c>
      <c r="B238" s="4" t="s">
        <v>19</v>
      </c>
      <c r="C238" s="4" t="s">
        <v>20</v>
      </c>
      <c r="D238" s="4" t="s">
        <v>9</v>
      </c>
      <c r="E238" s="4">
        <v>799</v>
      </c>
      <c r="F238" s="4">
        <v>44</v>
      </c>
      <c r="G238" s="5">
        <f t="shared" si="3"/>
        <v>35156</v>
      </c>
    </row>
    <row r="239" spans="1:7" ht="15.5" x14ac:dyDescent="0.35">
      <c r="A239" s="6">
        <v>44779</v>
      </c>
      <c r="B239" s="7" t="s">
        <v>19</v>
      </c>
      <c r="C239" s="7" t="s">
        <v>20</v>
      </c>
      <c r="D239" s="7" t="s">
        <v>24</v>
      </c>
      <c r="E239" s="7">
        <v>3990</v>
      </c>
      <c r="F239" s="7">
        <v>31</v>
      </c>
      <c r="G239" s="8">
        <f t="shared" si="3"/>
        <v>123690</v>
      </c>
    </row>
    <row r="240" spans="1:7" ht="15.5" x14ac:dyDescent="0.35">
      <c r="A240" s="3">
        <v>44783</v>
      </c>
      <c r="B240" s="4" t="s">
        <v>12</v>
      </c>
      <c r="C240" s="4" t="s">
        <v>16</v>
      </c>
      <c r="D240" s="4" t="s">
        <v>14</v>
      </c>
      <c r="E240" s="4">
        <v>52000</v>
      </c>
      <c r="F240" s="4">
        <v>29</v>
      </c>
      <c r="G240" s="5">
        <f t="shared" si="3"/>
        <v>1508000</v>
      </c>
    </row>
    <row r="241" spans="1:7" ht="15.5" x14ac:dyDescent="0.35">
      <c r="A241" s="6">
        <v>44787</v>
      </c>
      <c r="B241" s="7" t="s">
        <v>7</v>
      </c>
      <c r="C241" s="7" t="s">
        <v>8</v>
      </c>
      <c r="D241" s="7" t="s">
        <v>18</v>
      </c>
      <c r="E241" s="7">
        <v>13999</v>
      </c>
      <c r="F241" s="7">
        <v>34</v>
      </c>
      <c r="G241" s="8">
        <f t="shared" si="3"/>
        <v>475966</v>
      </c>
    </row>
    <row r="242" spans="1:7" ht="15.5" x14ac:dyDescent="0.35">
      <c r="A242" s="3">
        <v>44791</v>
      </c>
      <c r="B242" s="4" t="s">
        <v>12</v>
      </c>
      <c r="C242" s="4" t="s">
        <v>17</v>
      </c>
      <c r="D242" s="4" t="s">
        <v>14</v>
      </c>
      <c r="E242" s="4">
        <v>120</v>
      </c>
      <c r="F242" s="4">
        <v>29</v>
      </c>
      <c r="G242" s="5">
        <f t="shared" si="3"/>
        <v>3480</v>
      </c>
    </row>
    <row r="243" spans="1:7" ht="15.5" x14ac:dyDescent="0.35">
      <c r="A243" s="6">
        <v>44795</v>
      </c>
      <c r="B243" s="7" t="s">
        <v>19</v>
      </c>
      <c r="C243" s="7" t="s">
        <v>13</v>
      </c>
      <c r="D243" s="7" t="s">
        <v>9</v>
      </c>
      <c r="E243" s="7">
        <v>23999</v>
      </c>
      <c r="F243" s="7">
        <v>25</v>
      </c>
      <c r="G243" s="8">
        <f t="shared" si="3"/>
        <v>599975</v>
      </c>
    </row>
    <row r="244" spans="1:7" ht="15.5" x14ac:dyDescent="0.35">
      <c r="A244" s="3">
        <v>44799</v>
      </c>
      <c r="B244" s="4" t="s">
        <v>12</v>
      </c>
      <c r="C244" s="4" t="s">
        <v>13</v>
      </c>
      <c r="D244" s="4" t="s">
        <v>18</v>
      </c>
      <c r="E244" s="4">
        <v>1250</v>
      </c>
      <c r="F244" s="4">
        <v>31</v>
      </c>
      <c r="G244" s="5">
        <f t="shared" si="3"/>
        <v>38750</v>
      </c>
    </row>
    <row r="245" spans="1:7" ht="15.5" x14ac:dyDescent="0.35">
      <c r="A245" s="6">
        <v>44803</v>
      </c>
      <c r="B245" s="7" t="s">
        <v>23</v>
      </c>
      <c r="C245" s="7" t="s">
        <v>16</v>
      </c>
      <c r="D245" s="7" t="s">
        <v>18</v>
      </c>
      <c r="E245" s="7">
        <v>45000</v>
      </c>
      <c r="F245" s="7">
        <v>16</v>
      </c>
      <c r="G245" s="8">
        <f t="shared" si="3"/>
        <v>720000</v>
      </c>
    </row>
    <row r="246" spans="1:7" ht="15.5" x14ac:dyDescent="0.35">
      <c r="A246" s="3">
        <v>44807</v>
      </c>
      <c r="B246" s="4" t="s">
        <v>10</v>
      </c>
      <c r="C246" s="4" t="s">
        <v>17</v>
      </c>
      <c r="D246" s="4" t="s">
        <v>14</v>
      </c>
      <c r="E246" s="4">
        <v>120</v>
      </c>
      <c r="F246" s="4">
        <v>48</v>
      </c>
      <c r="G246" s="5">
        <f t="shared" si="3"/>
        <v>5760</v>
      </c>
    </row>
    <row r="247" spans="1:7" ht="15.5" x14ac:dyDescent="0.35">
      <c r="A247" s="6">
        <v>44811</v>
      </c>
      <c r="B247" s="7" t="s">
        <v>12</v>
      </c>
      <c r="C247" s="7" t="s">
        <v>16</v>
      </c>
      <c r="D247" s="7" t="s">
        <v>21</v>
      </c>
      <c r="E247" s="7">
        <v>25600</v>
      </c>
      <c r="F247" s="7">
        <v>22</v>
      </c>
      <c r="G247" s="8">
        <f t="shared" si="3"/>
        <v>563200</v>
      </c>
    </row>
    <row r="248" spans="1:7" ht="15.5" x14ac:dyDescent="0.35">
      <c r="A248" s="3">
        <v>44815</v>
      </c>
      <c r="B248" s="4" t="s">
        <v>23</v>
      </c>
      <c r="C248" s="4" t="s">
        <v>22</v>
      </c>
      <c r="D248" s="4" t="s">
        <v>18</v>
      </c>
      <c r="E248" s="4">
        <v>699</v>
      </c>
      <c r="F248" s="4">
        <v>6</v>
      </c>
      <c r="G248" s="5">
        <f t="shared" si="3"/>
        <v>4194</v>
      </c>
    </row>
    <row r="249" spans="1:7" ht="15.5" x14ac:dyDescent="0.35">
      <c r="A249" s="6">
        <v>44819</v>
      </c>
      <c r="B249" s="7" t="s">
        <v>23</v>
      </c>
      <c r="C249" s="7" t="s">
        <v>16</v>
      </c>
      <c r="D249" s="7" t="s">
        <v>14</v>
      </c>
      <c r="E249" s="7">
        <v>99620</v>
      </c>
      <c r="F249" s="7">
        <v>12</v>
      </c>
      <c r="G249" s="8">
        <f t="shared" si="3"/>
        <v>1195440</v>
      </c>
    </row>
    <row r="250" spans="1:7" ht="15.5" x14ac:dyDescent="0.35">
      <c r="A250" s="3">
        <v>44823</v>
      </c>
      <c r="B250" s="4" t="s">
        <v>12</v>
      </c>
      <c r="C250" s="4" t="s">
        <v>22</v>
      </c>
      <c r="D250" s="4" t="s">
        <v>24</v>
      </c>
      <c r="E250" s="4">
        <v>450</v>
      </c>
      <c r="F250" s="4">
        <v>44</v>
      </c>
      <c r="G250" s="5">
        <f t="shared" si="3"/>
        <v>19800</v>
      </c>
    </row>
    <row r="251" spans="1:7" ht="15.5" x14ac:dyDescent="0.35">
      <c r="A251" s="6">
        <v>44827</v>
      </c>
      <c r="B251" s="7" t="s">
        <v>23</v>
      </c>
      <c r="C251" s="7" t="s">
        <v>22</v>
      </c>
      <c r="D251" s="7" t="s">
        <v>14</v>
      </c>
      <c r="E251" s="7">
        <v>1499</v>
      </c>
      <c r="F251" s="7">
        <v>15</v>
      </c>
      <c r="G251" s="8">
        <f t="shared" si="3"/>
        <v>22485</v>
      </c>
    </row>
    <row r="252" spans="1:7" ht="15.5" x14ac:dyDescent="0.35">
      <c r="A252" s="3">
        <v>44831</v>
      </c>
      <c r="B252" s="4" t="s">
        <v>7</v>
      </c>
      <c r="C252" s="4" t="s">
        <v>16</v>
      </c>
      <c r="D252" s="4" t="s">
        <v>21</v>
      </c>
      <c r="E252" s="4">
        <v>49500</v>
      </c>
      <c r="F252" s="4">
        <v>26</v>
      </c>
      <c r="G252" s="5">
        <f t="shared" si="3"/>
        <v>1287000</v>
      </c>
    </row>
    <row r="253" spans="1:7" ht="15.5" x14ac:dyDescent="0.35">
      <c r="A253" s="6">
        <v>44835</v>
      </c>
      <c r="B253" s="7" t="s">
        <v>10</v>
      </c>
      <c r="C253" s="7" t="s">
        <v>13</v>
      </c>
      <c r="D253" s="7" t="s">
        <v>21</v>
      </c>
      <c r="E253" s="7">
        <v>960</v>
      </c>
      <c r="F253" s="7">
        <v>16</v>
      </c>
      <c r="G253" s="8">
        <f t="shared" si="3"/>
        <v>15360</v>
      </c>
    </row>
    <row r="254" spans="1:7" ht="15.5" x14ac:dyDescent="0.35">
      <c r="A254" s="3">
        <v>44839</v>
      </c>
      <c r="B254" s="4" t="s">
        <v>12</v>
      </c>
      <c r="C254" s="4" t="s">
        <v>8</v>
      </c>
      <c r="D254" s="4" t="s">
        <v>18</v>
      </c>
      <c r="E254" s="4">
        <v>5599</v>
      </c>
      <c r="F254" s="4">
        <v>35</v>
      </c>
      <c r="G254" s="5">
        <f t="shared" si="3"/>
        <v>195965</v>
      </c>
    </row>
    <row r="255" spans="1:7" ht="15.5" x14ac:dyDescent="0.35">
      <c r="A255" s="6">
        <v>44843</v>
      </c>
      <c r="B255" s="7" t="s">
        <v>15</v>
      </c>
      <c r="C255" s="7" t="s">
        <v>17</v>
      </c>
      <c r="D255" s="7" t="s">
        <v>9</v>
      </c>
      <c r="E255" s="7">
        <v>89</v>
      </c>
      <c r="F255" s="7">
        <v>36</v>
      </c>
      <c r="G255" s="8">
        <f t="shared" si="3"/>
        <v>3204</v>
      </c>
    </row>
    <row r="256" spans="1:7" ht="15.5" x14ac:dyDescent="0.35">
      <c r="A256" s="3">
        <v>44847</v>
      </c>
      <c r="B256" s="4" t="s">
        <v>7</v>
      </c>
      <c r="C256" s="4" t="s">
        <v>8</v>
      </c>
      <c r="D256" s="4" t="s">
        <v>24</v>
      </c>
      <c r="E256" s="4">
        <v>2550</v>
      </c>
      <c r="F256" s="4">
        <v>20</v>
      </c>
      <c r="G256" s="5">
        <f t="shared" si="3"/>
        <v>51000</v>
      </c>
    </row>
    <row r="257" spans="1:7" ht="15.5" x14ac:dyDescent="0.35">
      <c r="A257" s="6">
        <v>44851</v>
      </c>
      <c r="B257" s="7" t="s">
        <v>12</v>
      </c>
      <c r="C257" s="7" t="s">
        <v>16</v>
      </c>
      <c r="D257" s="7" t="s">
        <v>9</v>
      </c>
      <c r="E257" s="7">
        <v>14500</v>
      </c>
      <c r="F257" s="7">
        <v>47</v>
      </c>
      <c r="G257" s="8">
        <f t="shared" si="3"/>
        <v>681500</v>
      </c>
    </row>
    <row r="258" spans="1:7" ht="15.5" x14ac:dyDescent="0.35">
      <c r="A258" s="3">
        <v>44855</v>
      </c>
      <c r="B258" s="4" t="s">
        <v>23</v>
      </c>
      <c r="C258" s="4" t="s">
        <v>22</v>
      </c>
      <c r="D258" s="4" t="s">
        <v>18</v>
      </c>
      <c r="E258" s="4">
        <v>2900</v>
      </c>
      <c r="F258" s="4">
        <v>6</v>
      </c>
      <c r="G258" s="5">
        <f t="shared" si="3"/>
        <v>17400</v>
      </c>
    </row>
    <row r="259" spans="1:7" ht="15.5" x14ac:dyDescent="0.35">
      <c r="A259" s="6">
        <v>44859</v>
      </c>
      <c r="B259" s="7" t="s">
        <v>15</v>
      </c>
      <c r="C259" s="7" t="s">
        <v>17</v>
      </c>
      <c r="D259" s="7" t="s">
        <v>21</v>
      </c>
      <c r="E259" s="7">
        <v>120</v>
      </c>
      <c r="F259" s="7">
        <v>6</v>
      </c>
      <c r="G259" s="8">
        <f t="shared" ref="G259:G279" si="4">E259*F259</f>
        <v>720</v>
      </c>
    </row>
    <row r="260" spans="1:7" ht="15.5" x14ac:dyDescent="0.35">
      <c r="A260" s="3">
        <v>44863</v>
      </c>
      <c r="B260" s="4" t="s">
        <v>19</v>
      </c>
      <c r="C260" s="4" t="s">
        <v>16</v>
      </c>
      <c r="D260" s="4" t="s">
        <v>14</v>
      </c>
      <c r="E260" s="4">
        <v>52000</v>
      </c>
      <c r="F260" s="4">
        <v>41</v>
      </c>
      <c r="G260" s="5">
        <f t="shared" si="4"/>
        <v>2132000</v>
      </c>
    </row>
    <row r="261" spans="1:7" ht="15.5" x14ac:dyDescent="0.35">
      <c r="A261" s="6">
        <v>44867</v>
      </c>
      <c r="B261" s="7" t="s">
        <v>10</v>
      </c>
      <c r="C261" s="7" t="s">
        <v>22</v>
      </c>
      <c r="D261" s="7" t="s">
        <v>11</v>
      </c>
      <c r="E261" s="7">
        <v>590</v>
      </c>
      <c r="F261" s="7">
        <v>29</v>
      </c>
      <c r="G261" s="8">
        <f t="shared" si="4"/>
        <v>17110</v>
      </c>
    </row>
    <row r="262" spans="1:7" ht="15.5" x14ac:dyDescent="0.35">
      <c r="A262" s="3">
        <v>44871</v>
      </c>
      <c r="B262" s="4" t="s">
        <v>19</v>
      </c>
      <c r="C262" s="4" t="s">
        <v>13</v>
      </c>
      <c r="D262" s="4" t="s">
        <v>21</v>
      </c>
      <c r="E262" s="4">
        <v>7999</v>
      </c>
      <c r="F262" s="4">
        <v>31</v>
      </c>
      <c r="G262" s="5">
        <f t="shared" si="4"/>
        <v>247969</v>
      </c>
    </row>
    <row r="263" spans="1:7" ht="15.5" x14ac:dyDescent="0.35">
      <c r="A263" s="6">
        <v>44875</v>
      </c>
      <c r="B263" s="7" t="s">
        <v>12</v>
      </c>
      <c r="C263" s="7" t="s">
        <v>17</v>
      </c>
      <c r="D263" s="7" t="s">
        <v>11</v>
      </c>
      <c r="E263" s="7">
        <v>999</v>
      </c>
      <c r="F263" s="7">
        <v>34</v>
      </c>
      <c r="G263" s="8">
        <f t="shared" si="4"/>
        <v>33966</v>
      </c>
    </row>
    <row r="264" spans="1:7" ht="15.5" x14ac:dyDescent="0.35">
      <c r="A264" s="3">
        <v>44879</v>
      </c>
      <c r="B264" s="4" t="s">
        <v>23</v>
      </c>
      <c r="C264" s="4" t="s">
        <v>16</v>
      </c>
      <c r="D264" s="4" t="s">
        <v>14</v>
      </c>
      <c r="E264" s="4">
        <v>990</v>
      </c>
      <c r="F264" s="4">
        <v>43</v>
      </c>
      <c r="G264" s="5">
        <f t="shared" si="4"/>
        <v>42570</v>
      </c>
    </row>
    <row r="265" spans="1:7" ht="15.5" x14ac:dyDescent="0.35">
      <c r="A265" s="6">
        <v>44883</v>
      </c>
      <c r="B265" s="7" t="s">
        <v>12</v>
      </c>
      <c r="C265" s="7" t="s">
        <v>20</v>
      </c>
      <c r="D265" s="7" t="s">
        <v>9</v>
      </c>
      <c r="E265" s="7">
        <v>11999</v>
      </c>
      <c r="F265" s="7">
        <v>37</v>
      </c>
      <c r="G265" s="8">
        <f t="shared" si="4"/>
        <v>443963</v>
      </c>
    </row>
    <row r="266" spans="1:7" ht="15.5" x14ac:dyDescent="0.35">
      <c r="A266" s="3">
        <v>44887</v>
      </c>
      <c r="B266" s="4" t="s">
        <v>10</v>
      </c>
      <c r="C266" s="4" t="s">
        <v>13</v>
      </c>
      <c r="D266" s="4" t="s">
        <v>9</v>
      </c>
      <c r="E266" s="4">
        <v>960</v>
      </c>
      <c r="F266" s="4">
        <v>7</v>
      </c>
      <c r="G266" s="5">
        <f t="shared" si="4"/>
        <v>6720</v>
      </c>
    </row>
    <row r="267" spans="1:7" ht="15.5" x14ac:dyDescent="0.35">
      <c r="A267" s="6">
        <v>44891</v>
      </c>
      <c r="B267" s="7" t="s">
        <v>7</v>
      </c>
      <c r="C267" s="7" t="s">
        <v>8</v>
      </c>
      <c r="D267" s="7" t="s">
        <v>14</v>
      </c>
      <c r="E267" s="7">
        <v>1450</v>
      </c>
      <c r="F267" s="7">
        <v>19</v>
      </c>
      <c r="G267" s="8">
        <f t="shared" si="4"/>
        <v>27550</v>
      </c>
    </row>
    <row r="268" spans="1:7" ht="15.5" x14ac:dyDescent="0.35">
      <c r="A268" s="3">
        <v>44895</v>
      </c>
      <c r="B268" s="4" t="s">
        <v>23</v>
      </c>
      <c r="C268" s="4" t="s">
        <v>22</v>
      </c>
      <c r="D268" s="4" t="s">
        <v>11</v>
      </c>
      <c r="E268" s="4">
        <v>450</v>
      </c>
      <c r="F268" s="4">
        <v>47</v>
      </c>
      <c r="G268" s="5">
        <f t="shared" si="4"/>
        <v>21150</v>
      </c>
    </row>
    <row r="269" spans="1:7" ht="15.5" x14ac:dyDescent="0.35">
      <c r="A269" s="6">
        <v>44899</v>
      </c>
      <c r="B269" s="7" t="s">
        <v>12</v>
      </c>
      <c r="C269" s="7" t="s">
        <v>16</v>
      </c>
      <c r="D269" s="7" t="s">
        <v>11</v>
      </c>
      <c r="E269" s="7">
        <v>1499</v>
      </c>
      <c r="F269" s="7">
        <v>37</v>
      </c>
      <c r="G269" s="8">
        <f t="shared" si="4"/>
        <v>55463</v>
      </c>
    </row>
    <row r="270" spans="1:7" ht="15.5" x14ac:dyDescent="0.35">
      <c r="A270" s="3">
        <v>44903</v>
      </c>
      <c r="B270" s="4" t="s">
        <v>19</v>
      </c>
      <c r="C270" s="4" t="s">
        <v>20</v>
      </c>
      <c r="D270" s="4" t="s">
        <v>11</v>
      </c>
      <c r="E270" s="4">
        <v>79999</v>
      </c>
      <c r="F270" s="4">
        <v>4</v>
      </c>
      <c r="G270" s="5">
        <f t="shared" si="4"/>
        <v>319996</v>
      </c>
    </row>
    <row r="271" spans="1:7" ht="15.5" x14ac:dyDescent="0.35">
      <c r="A271" s="6">
        <v>44907</v>
      </c>
      <c r="B271" s="7" t="s">
        <v>12</v>
      </c>
      <c r="C271" s="7" t="s">
        <v>17</v>
      </c>
      <c r="D271" s="7" t="s">
        <v>21</v>
      </c>
      <c r="E271" s="7">
        <v>999</v>
      </c>
      <c r="F271" s="7">
        <v>45</v>
      </c>
      <c r="G271" s="8">
        <f t="shared" si="4"/>
        <v>44955</v>
      </c>
    </row>
    <row r="272" spans="1:7" ht="15.5" x14ac:dyDescent="0.35">
      <c r="A272" s="3">
        <v>44911</v>
      </c>
      <c r="B272" s="4" t="s">
        <v>19</v>
      </c>
      <c r="C272" s="4" t="s">
        <v>20</v>
      </c>
      <c r="D272" s="4" t="s">
        <v>9</v>
      </c>
      <c r="E272" s="4">
        <v>52000</v>
      </c>
      <c r="F272" s="4">
        <v>15</v>
      </c>
      <c r="G272" s="5">
        <f t="shared" si="4"/>
        <v>780000</v>
      </c>
    </row>
    <row r="273" spans="1:7" ht="15.5" x14ac:dyDescent="0.35">
      <c r="A273" s="6">
        <v>44915</v>
      </c>
      <c r="B273" s="7" t="s">
        <v>10</v>
      </c>
      <c r="C273" s="7" t="s">
        <v>20</v>
      </c>
      <c r="D273" s="7" t="s">
        <v>18</v>
      </c>
      <c r="E273" s="7">
        <v>52000</v>
      </c>
      <c r="F273" s="7">
        <v>39</v>
      </c>
      <c r="G273" s="8">
        <f t="shared" si="4"/>
        <v>2028000</v>
      </c>
    </row>
    <row r="274" spans="1:7" ht="15.5" x14ac:dyDescent="0.35">
      <c r="A274" s="3">
        <v>44919</v>
      </c>
      <c r="B274" s="4" t="s">
        <v>12</v>
      </c>
      <c r="C274" s="4" t="s">
        <v>13</v>
      </c>
      <c r="D274" s="4" t="s">
        <v>18</v>
      </c>
      <c r="E274" s="4">
        <v>960</v>
      </c>
      <c r="F274" s="4">
        <v>33</v>
      </c>
      <c r="G274" s="5">
        <f t="shared" si="4"/>
        <v>31680</v>
      </c>
    </row>
    <row r="275" spans="1:7" ht="15.5" x14ac:dyDescent="0.35">
      <c r="A275" s="9">
        <v>44923</v>
      </c>
      <c r="B275" s="10" t="s">
        <v>19</v>
      </c>
      <c r="C275" s="10" t="s">
        <v>13</v>
      </c>
      <c r="D275" s="10" t="s">
        <v>14</v>
      </c>
      <c r="E275" s="10">
        <v>1450</v>
      </c>
      <c r="F275" s="10">
        <v>34</v>
      </c>
      <c r="G275" s="11">
        <f t="shared" si="4"/>
        <v>49300</v>
      </c>
    </row>
    <row r="276" spans="1:7" ht="15.5" x14ac:dyDescent="0.35">
      <c r="A276" s="3">
        <v>44913</v>
      </c>
      <c r="B276" s="4" t="s">
        <v>23</v>
      </c>
      <c r="C276" s="4" t="s">
        <v>22</v>
      </c>
      <c r="D276" s="4" t="s">
        <v>24</v>
      </c>
      <c r="E276" s="4">
        <v>2500</v>
      </c>
      <c r="F276" s="4">
        <v>100</v>
      </c>
      <c r="G276" s="5">
        <f t="shared" si="4"/>
        <v>250000</v>
      </c>
    </row>
    <row r="277" spans="1:7" ht="15.5" x14ac:dyDescent="0.35">
      <c r="A277" s="6">
        <v>44917</v>
      </c>
      <c r="B277" s="7" t="s">
        <v>10</v>
      </c>
      <c r="C277" s="7" t="s">
        <v>16</v>
      </c>
      <c r="D277" s="7" t="s">
        <v>24</v>
      </c>
      <c r="E277" s="7">
        <v>86540</v>
      </c>
      <c r="F277" s="7">
        <v>6</v>
      </c>
      <c r="G277" s="8">
        <f t="shared" si="4"/>
        <v>519240</v>
      </c>
    </row>
    <row r="278" spans="1:7" ht="15.5" x14ac:dyDescent="0.35">
      <c r="A278" s="3">
        <v>44922</v>
      </c>
      <c r="B278" s="4" t="s">
        <v>15</v>
      </c>
      <c r="C278" s="4" t="s">
        <v>17</v>
      </c>
      <c r="D278" s="4" t="s">
        <v>24</v>
      </c>
      <c r="E278" s="4">
        <v>550</v>
      </c>
      <c r="F278" s="4">
        <v>44</v>
      </c>
      <c r="G278" s="5">
        <f t="shared" si="4"/>
        <v>24200</v>
      </c>
    </row>
    <row r="279" spans="1:7" ht="15.5" x14ac:dyDescent="0.35">
      <c r="A279" s="6">
        <v>44925</v>
      </c>
      <c r="B279" s="7" t="s">
        <v>12</v>
      </c>
      <c r="C279" s="7" t="s">
        <v>20</v>
      </c>
      <c r="D279" s="7" t="s">
        <v>24</v>
      </c>
      <c r="E279" s="7">
        <v>65400</v>
      </c>
      <c r="F279" s="7">
        <v>19</v>
      </c>
      <c r="G279" s="8">
        <f t="shared" si="4"/>
        <v>1242600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A1"/>
  <sheetViews>
    <sheetView topLeftCell="A7"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A1:C138"/>
  <sheetViews>
    <sheetView topLeftCell="A128" workbookViewId="0">
      <selection activeCell="E130" sqref="E130:F131"/>
    </sheetView>
  </sheetViews>
  <sheetFormatPr defaultRowHeight="14.5" x14ac:dyDescent="0.35"/>
  <cols>
    <col min="1" max="1" width="14" bestFit="1" customWidth="1"/>
    <col min="2" max="4" width="11.453125" bestFit="1" customWidth="1"/>
  </cols>
  <sheetData>
    <row r="1" spans="1:2" x14ac:dyDescent="0.35">
      <c r="A1" s="12" t="s">
        <v>25</v>
      </c>
      <c r="B1" t="s">
        <v>30</v>
      </c>
    </row>
    <row r="2" spans="1:2" x14ac:dyDescent="0.35">
      <c r="A2" s="13" t="s">
        <v>27</v>
      </c>
      <c r="B2" s="14">
        <v>11587825</v>
      </c>
    </row>
    <row r="3" spans="1:2" x14ac:dyDescent="0.35">
      <c r="A3" s="13" t="s">
        <v>28</v>
      </c>
      <c r="B3" s="14">
        <v>9933052</v>
      </c>
    </row>
    <row r="4" spans="1:2" x14ac:dyDescent="0.35">
      <c r="A4" s="13" t="s">
        <v>31</v>
      </c>
      <c r="B4" s="14">
        <v>5651655</v>
      </c>
    </row>
    <row r="5" spans="1:2" x14ac:dyDescent="0.35">
      <c r="A5" s="13" t="s">
        <v>32</v>
      </c>
      <c r="B5" s="14">
        <v>2588013</v>
      </c>
    </row>
    <row r="6" spans="1:2" x14ac:dyDescent="0.35">
      <c r="A6" s="13" t="s">
        <v>33</v>
      </c>
      <c r="B6" s="14">
        <v>8435834</v>
      </c>
    </row>
    <row r="7" spans="1:2" x14ac:dyDescent="0.35">
      <c r="A7" s="13" t="s">
        <v>34</v>
      </c>
      <c r="B7" s="14">
        <v>3751547</v>
      </c>
    </row>
    <row r="8" spans="1:2" x14ac:dyDescent="0.35">
      <c r="A8" s="13" t="s">
        <v>35</v>
      </c>
      <c r="B8" s="14">
        <v>18122063</v>
      </c>
    </row>
    <row r="9" spans="1:2" x14ac:dyDescent="0.35">
      <c r="A9" s="13" t="s">
        <v>36</v>
      </c>
      <c r="B9" s="14">
        <v>10988474</v>
      </c>
    </row>
    <row r="10" spans="1:2" x14ac:dyDescent="0.35">
      <c r="A10" s="13" t="s">
        <v>37</v>
      </c>
      <c r="B10" s="14">
        <v>13532478</v>
      </c>
    </row>
    <row r="11" spans="1:2" x14ac:dyDescent="0.35">
      <c r="A11" s="13" t="s">
        <v>38</v>
      </c>
      <c r="B11" s="14">
        <v>16467945</v>
      </c>
    </row>
    <row r="12" spans="1:2" x14ac:dyDescent="0.35">
      <c r="A12" s="13" t="s">
        <v>39</v>
      </c>
      <c r="B12" s="14">
        <v>5605463</v>
      </c>
    </row>
    <row r="13" spans="1:2" x14ac:dyDescent="0.35">
      <c r="A13" s="13" t="s">
        <v>40</v>
      </c>
      <c r="B13" s="14">
        <v>12067544</v>
      </c>
    </row>
    <row r="14" spans="1:2" x14ac:dyDescent="0.35">
      <c r="A14" s="13" t="s">
        <v>26</v>
      </c>
      <c r="B14" s="14">
        <v>118731893</v>
      </c>
    </row>
    <row r="20" spans="1:2" x14ac:dyDescent="0.35">
      <c r="A20" s="12" t="s">
        <v>25</v>
      </c>
      <c r="B20" t="s">
        <v>30</v>
      </c>
    </row>
    <row r="21" spans="1:2" x14ac:dyDescent="0.35">
      <c r="A21" s="13" t="s">
        <v>24</v>
      </c>
      <c r="B21" s="14">
        <v>10438408</v>
      </c>
    </row>
    <row r="22" spans="1:2" x14ac:dyDescent="0.35">
      <c r="A22" s="13" t="s">
        <v>11</v>
      </c>
      <c r="B22" s="14">
        <v>15080094</v>
      </c>
    </row>
    <row r="23" spans="1:2" x14ac:dyDescent="0.35">
      <c r="A23" s="13" t="s">
        <v>14</v>
      </c>
      <c r="B23" s="14">
        <v>16052685</v>
      </c>
    </row>
    <row r="24" spans="1:2" x14ac:dyDescent="0.35">
      <c r="A24" s="13" t="s">
        <v>21</v>
      </c>
      <c r="B24" s="14">
        <v>16926316</v>
      </c>
    </row>
    <row r="25" spans="1:2" x14ac:dyDescent="0.35">
      <c r="A25" s="13" t="s">
        <v>9</v>
      </c>
      <c r="B25" s="14">
        <v>19179514</v>
      </c>
    </row>
    <row r="26" spans="1:2" x14ac:dyDescent="0.35">
      <c r="A26" s="13" t="s">
        <v>18</v>
      </c>
      <c r="B26" s="14">
        <v>41054876</v>
      </c>
    </row>
    <row r="27" spans="1:2" x14ac:dyDescent="0.35">
      <c r="A27" s="13" t="s">
        <v>26</v>
      </c>
      <c r="B27" s="14">
        <v>118731893</v>
      </c>
    </row>
    <row r="39" spans="1:2" x14ac:dyDescent="0.35">
      <c r="A39" s="12" t="s">
        <v>25</v>
      </c>
      <c r="B39" t="s">
        <v>30</v>
      </c>
    </row>
    <row r="40" spans="1:2" x14ac:dyDescent="0.35">
      <c r="A40" s="13" t="s">
        <v>13</v>
      </c>
      <c r="B40" s="15">
        <v>2.9676432430838107E-2</v>
      </c>
    </row>
    <row r="41" spans="1:2" x14ac:dyDescent="0.35">
      <c r="A41" s="13" t="s">
        <v>22</v>
      </c>
      <c r="B41" s="15">
        <v>3.3596339611969298E-2</v>
      </c>
    </row>
    <row r="42" spans="1:2" x14ac:dyDescent="0.35">
      <c r="A42" s="13" t="s">
        <v>8</v>
      </c>
      <c r="B42" s="15">
        <v>4.4333858974184806E-2</v>
      </c>
    </row>
    <row r="43" spans="1:2" x14ac:dyDescent="0.35">
      <c r="A43" s="13" t="s">
        <v>17</v>
      </c>
      <c r="B43" s="15">
        <v>8.7710746766245865E-2</v>
      </c>
    </row>
    <row r="44" spans="1:2" x14ac:dyDescent="0.35">
      <c r="A44" s="13" t="s">
        <v>16</v>
      </c>
      <c r="B44" s="15">
        <v>0.39442202778658636</v>
      </c>
    </row>
    <row r="45" spans="1:2" x14ac:dyDescent="0.35">
      <c r="A45" s="13" t="s">
        <v>20</v>
      </c>
      <c r="B45" s="15">
        <v>0.41026059443017554</v>
      </c>
    </row>
    <row r="46" spans="1:2" x14ac:dyDescent="0.35">
      <c r="A46" s="13" t="s">
        <v>26</v>
      </c>
      <c r="B46" s="15">
        <v>1</v>
      </c>
    </row>
    <row r="57" spans="1:3" x14ac:dyDescent="0.35">
      <c r="A57" t="s">
        <v>30</v>
      </c>
    </row>
    <row r="58" spans="1:3" x14ac:dyDescent="0.35">
      <c r="A58" s="14">
        <v>118731893</v>
      </c>
      <c r="B58" s="14"/>
      <c r="C58" s="14">
        <f>GETPIVOTDATA("Amount",$A$57)</f>
        <v>118731893</v>
      </c>
    </row>
    <row r="61" spans="1:3" x14ac:dyDescent="0.35">
      <c r="A61" t="s">
        <v>41</v>
      </c>
    </row>
    <row r="62" spans="1:3" x14ac:dyDescent="0.35">
      <c r="A62" s="16">
        <v>278</v>
      </c>
      <c r="B62" s="16"/>
      <c r="C62" s="16">
        <f>GETPIVOTDATA("Units",$A$61)</f>
        <v>278</v>
      </c>
    </row>
    <row r="72" spans="1:2" x14ac:dyDescent="0.35">
      <c r="A72" s="12" t="s">
        <v>25</v>
      </c>
      <c r="B72" t="s">
        <v>29</v>
      </c>
    </row>
    <row r="73" spans="1:2" x14ac:dyDescent="0.35">
      <c r="A73" s="13" t="s">
        <v>16</v>
      </c>
      <c r="B73" s="16">
        <v>1503</v>
      </c>
    </row>
    <row r="74" spans="1:2" x14ac:dyDescent="0.35">
      <c r="A74" s="13" t="s">
        <v>20</v>
      </c>
      <c r="B74" s="16">
        <v>1615</v>
      </c>
    </row>
    <row r="75" spans="1:2" x14ac:dyDescent="0.35">
      <c r="A75" s="13" t="s">
        <v>22</v>
      </c>
      <c r="B75" s="16">
        <v>1457</v>
      </c>
    </row>
    <row r="76" spans="1:2" x14ac:dyDescent="0.35">
      <c r="A76" s="13" t="s">
        <v>26</v>
      </c>
      <c r="B76" s="16">
        <v>4575</v>
      </c>
    </row>
    <row r="88" spans="1:2" x14ac:dyDescent="0.35">
      <c r="A88" s="12" t="s">
        <v>25</v>
      </c>
      <c r="B88" t="s">
        <v>29</v>
      </c>
    </row>
    <row r="89" spans="1:2" x14ac:dyDescent="0.35">
      <c r="A89" s="13" t="s">
        <v>8</v>
      </c>
      <c r="B89" s="16">
        <v>1233</v>
      </c>
    </row>
    <row r="90" spans="1:2" x14ac:dyDescent="0.35">
      <c r="A90" s="13" t="s">
        <v>13</v>
      </c>
      <c r="B90" s="16">
        <v>694</v>
      </c>
    </row>
    <row r="91" spans="1:2" x14ac:dyDescent="0.35">
      <c r="A91" s="13" t="s">
        <v>17</v>
      </c>
      <c r="B91" s="16">
        <v>1168</v>
      </c>
    </row>
    <row r="92" spans="1:2" x14ac:dyDescent="0.35">
      <c r="A92" s="13" t="s">
        <v>26</v>
      </c>
      <c r="B92" s="16">
        <v>3095</v>
      </c>
    </row>
    <row r="98" spans="1:2" x14ac:dyDescent="0.35">
      <c r="A98" s="12" t="s">
        <v>25</v>
      </c>
      <c r="B98" t="s">
        <v>29</v>
      </c>
    </row>
    <row r="99" spans="1:2" x14ac:dyDescent="0.35">
      <c r="A99" s="13" t="s">
        <v>19</v>
      </c>
      <c r="B99" s="16">
        <v>1687</v>
      </c>
    </row>
    <row r="100" spans="1:2" x14ac:dyDescent="0.35">
      <c r="A100" s="13" t="s">
        <v>12</v>
      </c>
      <c r="B100" s="16">
        <v>1534</v>
      </c>
    </row>
    <row r="101" spans="1:2" x14ac:dyDescent="0.35">
      <c r="A101" s="13" t="s">
        <v>10</v>
      </c>
      <c r="B101" s="16">
        <v>1407</v>
      </c>
    </row>
    <row r="102" spans="1:2" x14ac:dyDescent="0.35">
      <c r="A102" s="13" t="s">
        <v>26</v>
      </c>
      <c r="B102" s="16">
        <v>4628</v>
      </c>
    </row>
    <row r="112" spans="1:2" x14ac:dyDescent="0.35">
      <c r="A112" s="12" t="s">
        <v>25</v>
      </c>
      <c r="B112" t="s">
        <v>29</v>
      </c>
    </row>
    <row r="113" spans="1:2" x14ac:dyDescent="0.35">
      <c r="A113" s="13" t="s">
        <v>15</v>
      </c>
      <c r="B113" s="16">
        <v>810</v>
      </c>
    </row>
    <row r="114" spans="1:2" x14ac:dyDescent="0.35">
      <c r="A114" s="13" t="s">
        <v>23</v>
      </c>
      <c r="B114" s="16">
        <v>1285</v>
      </c>
    </row>
    <row r="115" spans="1:2" x14ac:dyDescent="0.35">
      <c r="A115" s="13" t="s">
        <v>7</v>
      </c>
      <c r="B115" s="16">
        <v>947</v>
      </c>
    </row>
    <row r="116" spans="1:2" x14ac:dyDescent="0.35">
      <c r="A116" s="13" t="s">
        <v>26</v>
      </c>
      <c r="B116" s="16">
        <v>3042</v>
      </c>
    </row>
    <row r="131" spans="1:2" x14ac:dyDescent="0.35">
      <c r="A131" s="12" t="s">
        <v>25</v>
      </c>
      <c r="B131" t="s">
        <v>29</v>
      </c>
    </row>
    <row r="132" spans="1:2" x14ac:dyDescent="0.35">
      <c r="A132" s="13" t="s">
        <v>15</v>
      </c>
      <c r="B132" s="16">
        <v>810</v>
      </c>
    </row>
    <row r="133" spans="1:2" x14ac:dyDescent="0.35">
      <c r="A133" s="13" t="s">
        <v>7</v>
      </c>
      <c r="B133" s="16">
        <v>947</v>
      </c>
    </row>
    <row r="134" spans="1:2" x14ac:dyDescent="0.35">
      <c r="A134" s="13" t="s">
        <v>23</v>
      </c>
      <c r="B134" s="16">
        <v>1285</v>
      </c>
    </row>
    <row r="135" spans="1:2" x14ac:dyDescent="0.35">
      <c r="A135" s="13" t="s">
        <v>10</v>
      </c>
      <c r="B135" s="16">
        <v>1407</v>
      </c>
    </row>
    <row r="136" spans="1:2" x14ac:dyDescent="0.35">
      <c r="A136" s="13" t="s">
        <v>12</v>
      </c>
      <c r="B136" s="16">
        <v>1534</v>
      </c>
    </row>
    <row r="137" spans="1:2" x14ac:dyDescent="0.35">
      <c r="A137" s="13" t="s">
        <v>19</v>
      </c>
      <c r="B137" s="16">
        <v>1687</v>
      </c>
    </row>
    <row r="138" spans="1:2" x14ac:dyDescent="0.35">
      <c r="A138" s="13" t="s">
        <v>26</v>
      </c>
      <c r="B138" s="16">
        <v>7670</v>
      </c>
    </row>
  </sheetData>
  <pageMargins left="0.7" right="0.7" top="0.75" bottom="0.75" header="0.3" footer="0.3"/>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salesman</vt:lpstr>
      <vt:lpstr>Aboutt</vt:lpstr>
      <vt:lpstr>products</vt:lpstr>
      <vt:lpstr>maindata</vt: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Anusha Vudthuri</cp:lastModifiedBy>
  <dcterms:created xsi:type="dcterms:W3CDTF">2025-01-28T12:35:12Z</dcterms:created>
  <dcterms:modified xsi:type="dcterms:W3CDTF">2026-06-07T08:05:46Z</dcterms:modified>
</cp:coreProperties>
</file>